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kumar.singh\Desktop\"/>
    </mc:Choice>
  </mc:AlternateContent>
  <bookViews>
    <workbookView xWindow="0" yWindow="0" windowWidth="19200" windowHeight="6930"/>
  </bookViews>
  <sheets>
    <sheet name="Boilers" sheetId="1" r:id="rId1"/>
    <sheet name="DGs" sheetId="2" r:id="rId2"/>
    <sheet name="Electrcity Data" sheetId="3" r:id="rId3"/>
    <sheet name="Water Data" sheetId="4" r:id="rId4"/>
    <sheet name="Domestic RO" sheetId="5" r:id="rId5"/>
    <sheet name="Stack emission Reports" sheetId="7" r:id="rId6"/>
    <sheet name="Production " sheetId="8" r:id="rId7"/>
    <sheet name="Washing Details" sheetId="9" r:id="rId8"/>
  </sheets>
  <calcPr calcId="162913"/>
  <extLst>
    <ext uri="GoogleSheetsCustomDataVersion2">
      <go:sheetsCustomData xmlns:go="http://customooxmlschemas.google.com/" r:id="rId25" roundtripDataChecksum="Nsc1wzcL05fG27L6tfXY4oMaHu8xKJrF1DadJ1cx22I="/>
    </ext>
  </extLst>
</workbook>
</file>

<file path=xl/calcChain.xml><?xml version="1.0" encoding="utf-8"?>
<calcChain xmlns="http://schemas.openxmlformats.org/spreadsheetml/2006/main">
  <c r="G6" i="3" l="1"/>
  <c r="G7" i="3"/>
  <c r="G8" i="3"/>
  <c r="G9" i="3"/>
  <c r="G10" i="3"/>
  <c r="G5" i="3"/>
  <c r="F17" i="9" l="1"/>
  <c r="E17" i="9"/>
  <c r="D17" i="9"/>
  <c r="C17" i="9"/>
  <c r="B17" i="9"/>
  <c r="B16" i="8"/>
  <c r="K19" i="5"/>
  <c r="J19" i="5"/>
  <c r="H19" i="5"/>
  <c r="E19" i="5"/>
  <c r="D19" i="5"/>
  <c r="C19" i="5"/>
  <c r="G18" i="5"/>
  <c r="F18" i="5"/>
  <c r="L17" i="5"/>
  <c r="N17" i="5" s="1"/>
  <c r="G17" i="5"/>
  <c r="F17" i="5"/>
  <c r="G13" i="5"/>
  <c r="F13" i="5"/>
  <c r="G12" i="5"/>
  <c r="F12" i="5"/>
  <c r="G11" i="5"/>
  <c r="F11" i="5"/>
  <c r="G10" i="5"/>
  <c r="F10" i="5"/>
  <c r="F9" i="5"/>
  <c r="G8" i="5"/>
  <c r="F8" i="5"/>
  <c r="G7" i="5"/>
  <c r="F7" i="5"/>
  <c r="N21" i="4"/>
  <c r="D21" i="4"/>
  <c r="N19" i="4"/>
  <c r="I19" i="4"/>
  <c r="G19" i="4"/>
  <c r="F19" i="4"/>
  <c r="D19" i="4"/>
  <c r="C19" i="4"/>
  <c r="Q18" i="4"/>
  <c r="L18" i="4"/>
  <c r="J18" i="4" s="1"/>
  <c r="H18" i="4"/>
  <c r="E18" i="4"/>
  <c r="Q17" i="4"/>
  <c r="Q16" i="4"/>
  <c r="Q15" i="4"/>
  <c r="Q14" i="4"/>
  <c r="Q13" i="4"/>
  <c r="K13" i="4"/>
  <c r="H13" i="4"/>
  <c r="E13" i="4"/>
  <c r="L13" i="4" s="1"/>
  <c r="M13" i="4" s="1"/>
  <c r="Q12" i="4"/>
  <c r="K12" i="4"/>
  <c r="H12" i="4"/>
  <c r="L12" i="4" s="1"/>
  <c r="E12" i="4"/>
  <c r="Q11" i="4"/>
  <c r="K11" i="4"/>
  <c r="H11" i="4"/>
  <c r="E11" i="4"/>
  <c r="Q10" i="4"/>
  <c r="K10" i="4"/>
  <c r="H10" i="4"/>
  <c r="E10" i="4"/>
  <c r="Q9" i="4"/>
  <c r="K9" i="4"/>
  <c r="H9" i="4"/>
  <c r="E9" i="4"/>
  <c r="K8" i="4"/>
  <c r="H8" i="4"/>
  <c r="E8" i="4"/>
  <c r="K7" i="4"/>
  <c r="H7" i="4"/>
  <c r="E7" i="4"/>
  <c r="F24" i="3"/>
  <c r="K17" i="3"/>
  <c r="J17" i="3"/>
  <c r="I17" i="3"/>
  <c r="F17" i="3"/>
  <c r="D17" i="3"/>
  <c r="N10" i="3"/>
  <c r="H10" i="3"/>
  <c r="N9" i="3"/>
  <c r="H9" i="3"/>
  <c r="H8" i="3"/>
  <c r="N8" i="3"/>
  <c r="H7" i="3"/>
  <c r="N6" i="3"/>
  <c r="N5" i="3"/>
  <c r="N18" i="2"/>
  <c r="J18" i="2"/>
  <c r="I18" i="2"/>
  <c r="H18" i="2"/>
  <c r="O17" i="2"/>
  <c r="I18" i="5" s="1"/>
  <c r="L18" i="5" s="1"/>
  <c r="M17" i="2"/>
  <c r="P17" i="2" s="1"/>
  <c r="L17" i="2"/>
  <c r="P16" i="2"/>
  <c r="M16" i="2"/>
  <c r="O16" i="2" s="1"/>
  <c r="P11" i="2"/>
  <c r="M11" i="2"/>
  <c r="O11" i="2" s="1"/>
  <c r="L10" i="3" s="1"/>
  <c r="M10" i="3" s="1"/>
  <c r="M10" i="2"/>
  <c r="P10" i="2" s="1"/>
  <c r="M9" i="2"/>
  <c r="O9" i="2" s="1"/>
  <c r="L8" i="3" s="1"/>
  <c r="M8" i="3" s="1"/>
  <c r="L9" i="2"/>
  <c r="P9" i="2" s="1"/>
  <c r="O8" i="2"/>
  <c r="L7" i="3" s="1"/>
  <c r="M7" i="3" s="1"/>
  <c r="M8" i="2"/>
  <c r="L8" i="2"/>
  <c r="P8" i="2" s="1"/>
  <c r="M7" i="2"/>
  <c r="O7" i="2" s="1"/>
  <c r="L7" i="2"/>
  <c r="P7" i="2" s="1"/>
  <c r="O6" i="2"/>
  <c r="L5" i="3" s="1"/>
  <c r="M6" i="2"/>
  <c r="M18" i="2" s="1"/>
  <c r="L6" i="2"/>
  <c r="P6" i="2" s="1"/>
  <c r="P18" i="2" s="1"/>
  <c r="Q18" i="1"/>
  <c r="M18" i="1"/>
  <c r="L18" i="1"/>
  <c r="J18" i="1"/>
  <c r="H18" i="1"/>
  <c r="G18" i="1"/>
  <c r="F18" i="1"/>
  <c r="E18" i="1"/>
  <c r="D18" i="1"/>
  <c r="C18" i="1"/>
  <c r="R17" i="1"/>
  <c r="O17" i="1"/>
  <c r="T17" i="1" s="1"/>
  <c r="S17" i="1" s="1"/>
  <c r="N17" i="1"/>
  <c r="R16" i="1"/>
  <c r="N16" i="1"/>
  <c r="O16" i="1" s="1"/>
  <c r="T16" i="1" s="1"/>
  <c r="S16" i="1" s="1"/>
  <c r="S11" i="1"/>
  <c r="N11" i="1"/>
  <c r="S10" i="1"/>
  <c r="N10" i="1"/>
  <c r="S9" i="1"/>
  <c r="N9" i="1"/>
  <c r="S8" i="1"/>
  <c r="N8" i="1"/>
  <c r="S7" i="1"/>
  <c r="N7" i="1"/>
  <c r="S6" i="1"/>
  <c r="N6" i="1"/>
  <c r="N18" i="1" l="1"/>
  <c r="F19" i="5"/>
  <c r="M17" i="5"/>
  <c r="M9" i="4"/>
  <c r="E19" i="4"/>
  <c r="L9" i="4"/>
  <c r="J9" i="4" s="1"/>
  <c r="K19" i="4"/>
  <c r="M18" i="4"/>
  <c r="L8" i="4"/>
  <c r="J8" i="4" s="1"/>
  <c r="K8" i="1"/>
  <c r="I9" i="5"/>
  <c r="L9" i="5" s="1"/>
  <c r="K9" i="1"/>
  <c r="I10" i="5"/>
  <c r="L10" i="5" s="1"/>
  <c r="S18" i="1"/>
  <c r="M5" i="3"/>
  <c r="I12" i="5"/>
  <c r="L12" i="5" s="1"/>
  <c r="K11" i="1"/>
  <c r="R11" i="1" s="1"/>
  <c r="L6" i="3"/>
  <c r="M6" i="3" s="1"/>
  <c r="D18" i="3"/>
  <c r="N18" i="5"/>
  <c r="M18" i="5"/>
  <c r="J12" i="4"/>
  <c r="M12" i="4"/>
  <c r="I13" i="5"/>
  <c r="L13" i="5" s="1"/>
  <c r="M11" i="4"/>
  <c r="O10" i="2"/>
  <c r="L9" i="3" s="1"/>
  <c r="M9" i="3" s="1"/>
  <c r="N7" i="3"/>
  <c r="H19" i="4"/>
  <c r="G9" i="5"/>
  <c r="G19" i="5" s="1"/>
  <c r="L18" i="2"/>
  <c r="L10" i="4"/>
  <c r="J10" i="4" s="1"/>
  <c r="H17" i="3"/>
  <c r="L7" i="4"/>
  <c r="L11" i="4"/>
  <c r="G17" i="3"/>
  <c r="F18" i="3" s="1"/>
  <c r="O11" i="1" l="1"/>
  <c r="T11" i="1" s="1"/>
  <c r="M8" i="4"/>
  <c r="N13" i="5"/>
  <c r="M13" i="5"/>
  <c r="I11" i="5"/>
  <c r="L11" i="5" s="1"/>
  <c r="K10" i="1"/>
  <c r="O9" i="1"/>
  <c r="T9" i="1" s="1"/>
  <c r="R9" i="1"/>
  <c r="N10" i="5"/>
  <c r="M10" i="5"/>
  <c r="N17" i="3"/>
  <c r="L17" i="3"/>
  <c r="M17" i="3"/>
  <c r="I7" i="5"/>
  <c r="K6" i="1"/>
  <c r="L19" i="4"/>
  <c r="J7" i="4"/>
  <c r="M7" i="4"/>
  <c r="I8" i="5"/>
  <c r="L8" i="5" s="1"/>
  <c r="K7" i="1"/>
  <c r="M10" i="4"/>
  <c r="O18" i="2"/>
  <c r="N9" i="5"/>
  <c r="M9" i="5"/>
  <c r="J11" i="4"/>
  <c r="R8" i="1"/>
  <c r="O8" i="1"/>
  <c r="T8" i="1" s="1"/>
  <c r="N12" i="5"/>
  <c r="M12" i="5"/>
  <c r="J19" i="4" l="1"/>
  <c r="R7" i="1"/>
  <c r="O7" i="1"/>
  <c r="T7" i="1" s="1"/>
  <c r="R6" i="1"/>
  <c r="K18" i="1"/>
  <c r="O6" i="1"/>
  <c r="N8" i="5"/>
  <c r="M8" i="5"/>
  <c r="L7" i="5"/>
  <c r="I19" i="5"/>
  <c r="R10" i="1"/>
  <c r="O10" i="1"/>
  <c r="T10" i="1" s="1"/>
  <c r="N11" i="5"/>
  <c r="M11" i="5"/>
  <c r="M19" i="4"/>
  <c r="R18" i="1" l="1"/>
  <c r="L19" i="5"/>
  <c r="N7" i="5"/>
  <c r="N19" i="5" s="1"/>
  <c r="M7" i="5"/>
  <c r="M19" i="5" s="1"/>
  <c r="O18" i="1"/>
  <c r="T6" i="1"/>
  <c r="T18" i="1" s="1"/>
</calcChain>
</file>

<file path=xl/sharedStrings.xml><?xml version="1.0" encoding="utf-8"?>
<sst xmlns="http://schemas.openxmlformats.org/spreadsheetml/2006/main" count="223" uniqueCount="134">
  <si>
    <t>Boilers</t>
  </si>
  <si>
    <t>Boilers, Thermopacks and their Fuels</t>
  </si>
  <si>
    <t>Sp. Steam Cost</t>
  </si>
  <si>
    <t>Month</t>
  </si>
  <si>
    <t>1 TPH</t>
  </si>
  <si>
    <t>Electricity Consumed</t>
  </si>
  <si>
    <t>Chemical Consumption</t>
  </si>
  <si>
    <t>Cost of Briquettes (Rs./kg)</t>
  </si>
  <si>
    <t>Cost of Firewood (Rs. /kg)</t>
  </si>
  <si>
    <t>Electricty Cost</t>
  </si>
  <si>
    <t>Chemical cost</t>
  </si>
  <si>
    <t>Boiler Fuel Cost (Rs.)</t>
  </si>
  <si>
    <t>Boiler Operational Cost (Rs.)</t>
  </si>
  <si>
    <t>Steam generated</t>
  </si>
  <si>
    <t>Indirect</t>
  </si>
  <si>
    <t>Direct</t>
  </si>
  <si>
    <t>Total Cost</t>
  </si>
  <si>
    <t>Running Hours</t>
  </si>
  <si>
    <t xml:space="preserve">Fuel Consumption
(Firewood) (kg)
</t>
  </si>
  <si>
    <t>Fuel Consumption
(Briquettes) (kg)</t>
  </si>
  <si>
    <t>Ancotreat 1240 R (kg)</t>
  </si>
  <si>
    <t>Ancotreat 1385 I (kg)</t>
  </si>
  <si>
    <t>(MT)</t>
  </si>
  <si>
    <t>Rs./MT</t>
  </si>
  <si>
    <t>Rs./Kg</t>
  </si>
  <si>
    <t>Total</t>
  </si>
  <si>
    <t>DGs and their Fuels</t>
  </si>
  <si>
    <t>DGs</t>
  </si>
  <si>
    <t>125 KVA</t>
  </si>
  <si>
    <t xml:space="preserve">500 KVA </t>
  </si>
  <si>
    <t>320 KVA II</t>
  </si>
  <si>
    <t>Total Units generated</t>
  </si>
  <si>
    <t>Total Fuel Consumption (l)</t>
  </si>
  <si>
    <t>HSD Cost /l</t>
  </si>
  <si>
    <t>Total DG Operating cost (Rs.)</t>
  </si>
  <si>
    <t xml:space="preserve">Per Unit Electricity Cost </t>
  </si>
  <si>
    <t>Fuel Consumption
(l)</t>
  </si>
  <si>
    <t>Units Generated (KWh)</t>
  </si>
  <si>
    <t>Calculation for running hours</t>
  </si>
  <si>
    <t>For 9 hours 15 minutes</t>
  </si>
  <si>
    <t>Electricty Details</t>
  </si>
  <si>
    <t>Unit</t>
  </si>
  <si>
    <t>State Electricity as per bill 
(non wheeled)</t>
  </si>
  <si>
    <t>DG Electricity Generated</t>
  </si>
  <si>
    <t>Total consumed</t>
  </si>
  <si>
    <t xml:space="preserve">Consumed in Production </t>
  </si>
  <si>
    <t>Consumed in 
Washing</t>
  </si>
  <si>
    <t>Office Use</t>
  </si>
  <si>
    <t>Monthly bill of State Electricity (Rs.)</t>
  </si>
  <si>
    <t>DG Fuel Cost for Electricity Generation (Rs.)</t>
  </si>
  <si>
    <t>Power Cost (Rs./Kwh)</t>
  </si>
  <si>
    <t>DG Electricity Share (%)</t>
  </si>
  <si>
    <t>KWh</t>
  </si>
  <si>
    <t>UOM</t>
  </si>
  <si>
    <t>Withdrawal</t>
  </si>
  <si>
    <t>Distribution</t>
  </si>
  <si>
    <t>Total Demand</t>
  </si>
  <si>
    <t>Recycle %</t>
  </si>
  <si>
    <t>Tanker water</t>
  </si>
  <si>
    <t>Ground Water</t>
  </si>
  <si>
    <t>Total Fresh Water Withdrawal</t>
  </si>
  <si>
    <t>Recycled Water</t>
  </si>
  <si>
    <t>Total Water Consumption</t>
  </si>
  <si>
    <t>Cost of Tanker Water</t>
  </si>
  <si>
    <t>Total Cost Incurred</t>
  </si>
  <si>
    <t>Boiler Condensate</t>
  </si>
  <si>
    <t>RO for Toilet Flushing</t>
  </si>
  <si>
    <t>In Washing/ Dyeing</t>
  </si>
  <si>
    <t>In Domestic</t>
  </si>
  <si>
    <t>In Boiler</t>
  </si>
  <si>
    <t>STP</t>
  </si>
  <si>
    <t>Treated</t>
  </si>
  <si>
    <t>Rs./kl</t>
  </si>
  <si>
    <t>Rs.</t>
  </si>
  <si>
    <t>kl</t>
  </si>
  <si>
    <t>Note: Kindly check calculation  </t>
  </si>
  <si>
    <t>Reverse Osmosis Plant Performance</t>
  </si>
  <si>
    <t>Raw Water Supplied</t>
  </si>
  <si>
    <t>Treated Water</t>
  </si>
  <si>
    <t>Reject Generated</t>
  </si>
  <si>
    <t>Efficiency of RO</t>
  </si>
  <si>
    <t>Treatment Cost
Consumable</t>
  </si>
  <si>
    <t>Electricity (KWh)</t>
  </si>
  <si>
    <t>Cost (Rs./unit)</t>
  </si>
  <si>
    <t>Ancotreat 5691 kgs</t>
  </si>
  <si>
    <t>Cost (Rs./kg)</t>
  </si>
  <si>
    <t>Total Cost (Rs.)</t>
  </si>
  <si>
    <r>
      <rPr>
        <b/>
        <sz val="11"/>
        <color rgb="FF000000"/>
        <rFont val="Calibri"/>
      </rPr>
      <t>Total Cost on feed (Rs./m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)</t>
    </r>
  </si>
  <si>
    <r>
      <rPr>
        <b/>
        <sz val="11"/>
        <color rgb="FF000000"/>
        <rFont val="Calibri"/>
      </rPr>
      <t>Total Cost on product (Rs./m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)</t>
    </r>
  </si>
  <si>
    <t>Note:  As discussed, we don't have supporter meter inDrinking water RO area Hours calculated</t>
  </si>
  <si>
    <t>Please write the results of third party against the month in which it has been carried out.</t>
  </si>
  <si>
    <t>Stack attached to 1 TPH boiler</t>
  </si>
  <si>
    <t>Internal Dia at the top</t>
  </si>
  <si>
    <t>750 mm</t>
  </si>
  <si>
    <t>PM</t>
  </si>
  <si>
    <t>SOx</t>
  </si>
  <si>
    <t>NOx</t>
  </si>
  <si>
    <t>CO</t>
  </si>
  <si>
    <t>Av. Velocity of Flue gas</t>
  </si>
  <si>
    <t>Av. Temperature of Flue gas</t>
  </si>
  <si>
    <t>mg/Nm3</t>
  </si>
  <si>
    <t>m/s</t>
  </si>
  <si>
    <t>*C</t>
  </si>
  <si>
    <t>Stack attached to 125 KVA DG I</t>
  </si>
  <si>
    <t>Stack attached to 320 KVA DG II</t>
  </si>
  <si>
    <t>250 mm</t>
  </si>
  <si>
    <t>PM10</t>
  </si>
  <si>
    <t>PM2.5</t>
  </si>
  <si>
    <t>C0</t>
  </si>
  <si>
    <t>VOC</t>
  </si>
  <si>
    <t xml:space="preserve">Sewing Section 1 </t>
  </si>
  <si>
    <t>Sewing Section-2</t>
  </si>
  <si>
    <t xml:space="preserve">Cutting </t>
  </si>
  <si>
    <t xml:space="preserve">Spot wash </t>
  </si>
  <si>
    <t>Between 2 Building</t>
  </si>
  <si>
    <t>area</t>
  </si>
  <si>
    <t>June</t>
  </si>
  <si>
    <t>Embriodery Inside</t>
  </si>
  <si>
    <t>South East</t>
  </si>
  <si>
    <t>South west</t>
  </si>
  <si>
    <t>North West</t>
  </si>
  <si>
    <t>North East</t>
  </si>
  <si>
    <t>Chemical storage</t>
  </si>
  <si>
    <t>Month/year</t>
  </si>
  <si>
    <t>Total Production (pcs)</t>
  </si>
  <si>
    <t>Total No. of Pieces</t>
  </si>
  <si>
    <t>Denim</t>
  </si>
  <si>
    <t>Non Denim</t>
  </si>
  <si>
    <t>Weight (kg)</t>
  </si>
  <si>
    <t>Average Wt. (g/pc)</t>
  </si>
  <si>
    <t>Washing Details</t>
  </si>
  <si>
    <t xml:space="preserve">Production Details </t>
  </si>
  <si>
    <t>Total Water supplied to boiler</t>
  </si>
  <si>
    <t>Renewable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</si>
</sst>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[$-409]General"/>
    <numFmt numFmtId="166" formatCode="[$-409]0"/>
  </numFmts>
  <fonts count="34">
    <font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name val="Calibri"/>
    </font>
    <font>
      <b/>
      <sz val="10"/>
      <color rgb="FF000000"/>
      <name val="Calibri"/>
    </font>
    <font>
      <sz val="10"/>
      <color rgb="FF000000"/>
      <name val="Arial"/>
    </font>
    <font>
      <sz val="10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Calibri"/>
      <scheme val="minor"/>
    </font>
    <font>
      <b/>
      <sz val="10"/>
      <color rgb="FF333333"/>
      <name val="Calibri"/>
    </font>
    <font>
      <sz val="10"/>
      <color rgb="FF333333"/>
      <name val="Calibri"/>
    </font>
    <font>
      <sz val="11"/>
      <color rgb="FF333333"/>
      <name val="Calibri"/>
    </font>
    <font>
      <sz val="11"/>
      <color rgb="FF333333"/>
      <name val="Calibri"/>
    </font>
    <font>
      <b/>
      <sz val="11"/>
      <color theme="1"/>
      <name val="Calibri"/>
    </font>
    <font>
      <b/>
      <sz val="11"/>
      <color rgb="FF002060"/>
      <name val="Calibri"/>
    </font>
    <font>
      <sz val="10"/>
      <color rgb="FF000000"/>
      <name val="Times New Roman"/>
    </font>
    <font>
      <sz val="11"/>
      <color theme="1"/>
      <name val="Times New Roman"/>
    </font>
    <font>
      <sz val="11"/>
      <color rgb="FF000000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Times New Roman"/>
    </font>
    <font>
      <sz val="11"/>
      <color rgb="FF800000"/>
      <name val="Calibri"/>
    </font>
    <font>
      <b/>
      <sz val="11"/>
      <color rgb="FF000000"/>
      <name val="Calibri"/>
    </font>
    <font>
      <b/>
      <sz val="10"/>
      <color rgb="FFFF0000"/>
      <name val="Arial"/>
    </font>
    <font>
      <b/>
      <sz val="10"/>
      <color theme="1"/>
      <name val="Arial"/>
    </font>
    <font>
      <sz val="10"/>
      <color theme="1"/>
      <name val="Verdana"/>
    </font>
    <font>
      <b/>
      <vertAlign val="superscript"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3300"/>
        <bgColor rgb="FFFF330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99CC00"/>
      </patternFill>
    </fill>
    <fill>
      <patternFill patternType="solid">
        <fgColor rgb="FF9999FF"/>
        <bgColor rgb="FF9999FF"/>
      </patternFill>
    </fill>
    <fill>
      <patternFill patternType="solid">
        <fgColor rgb="FFFFCC00"/>
        <bgColor rgb="FFFFCC00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n">
        <color rgb="FF800000"/>
      </left>
      <right style="medium">
        <color rgb="FF800000"/>
      </right>
      <top/>
      <bottom style="thin">
        <color rgb="FF8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800000"/>
      </left>
      <right style="thin">
        <color rgb="FF800000"/>
      </right>
      <top style="thin">
        <color rgb="FF800000"/>
      </top>
      <bottom style="medium">
        <color rgb="FF800000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medium">
        <color rgb="FF8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800000"/>
      </left>
      <right/>
      <top style="thin">
        <color rgb="FF800000"/>
      </top>
      <bottom style="medium">
        <color rgb="FF800000"/>
      </bottom>
      <diagonal/>
    </border>
  </borders>
  <cellStyleXfs count="1">
    <xf numFmtId="0" fontId="0" fillId="0" borderId="0"/>
  </cellStyleXfs>
  <cellXfs count="460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17" fontId="4" fillId="0" borderId="27" xfId="0" applyNumberFormat="1" applyFont="1" applyBorder="1" applyAlignment="1">
      <alignment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wrapText="1"/>
    </xf>
    <xf numFmtId="2" fontId="7" fillId="2" borderId="28" xfId="0" applyNumberFormat="1" applyFont="1" applyFill="1" applyBorder="1" applyAlignment="1">
      <alignment horizontal="center" vertical="top" wrapText="1"/>
    </xf>
    <xf numFmtId="1" fontId="1" fillId="0" borderId="17" xfId="0" applyNumberFormat="1" applyFont="1" applyBorder="1" applyAlignment="1">
      <alignment horizontal="center" vertical="top" wrapText="1"/>
    </xf>
    <xf numFmtId="0" fontId="8" fillId="3" borderId="17" xfId="0" applyFont="1" applyFill="1" applyBorder="1" applyAlignment="1">
      <alignment horizontal="center" wrapText="1"/>
    </xf>
    <xf numFmtId="1" fontId="1" fillId="0" borderId="17" xfId="0" applyNumberFormat="1" applyFont="1" applyBorder="1" applyAlignment="1">
      <alignment vertical="top" wrapText="1"/>
    </xf>
    <xf numFmtId="0" fontId="9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1" fontId="1" fillId="0" borderId="31" xfId="0" applyNumberFormat="1" applyFont="1" applyBorder="1" applyAlignment="1">
      <alignment horizontal="center" vertical="top" wrapText="1"/>
    </xf>
    <xf numFmtId="1" fontId="1" fillId="0" borderId="32" xfId="0" applyNumberFormat="1" applyFont="1" applyBorder="1" applyAlignment="1">
      <alignment horizontal="center" vertical="top" wrapText="1"/>
    </xf>
    <xf numFmtId="1" fontId="1" fillId="0" borderId="33" xfId="0" applyNumberFormat="1" applyFont="1" applyBorder="1" applyAlignment="1">
      <alignment horizontal="center" vertical="top" wrapText="1"/>
    </xf>
    <xf numFmtId="1" fontId="1" fillId="0" borderId="29" xfId="0" applyNumberFormat="1" applyFont="1" applyBorder="1" applyAlignment="1">
      <alignment vertical="top" wrapText="1"/>
    </xf>
    <xf numFmtId="1" fontId="1" fillId="0" borderId="31" xfId="0" applyNumberFormat="1" applyFont="1" applyBorder="1" applyAlignment="1">
      <alignment vertical="top" wrapText="1"/>
    </xf>
    <xf numFmtId="1" fontId="1" fillId="0" borderId="34" xfId="0" applyNumberFormat="1" applyFont="1" applyBorder="1" applyAlignment="1">
      <alignment vertical="top" wrapText="1"/>
    </xf>
    <xf numFmtId="0" fontId="11" fillId="0" borderId="35" xfId="0" applyFont="1" applyBorder="1" applyAlignment="1">
      <alignment horizontal="center" vertical="top"/>
    </xf>
    <xf numFmtId="0" fontId="11" fillId="0" borderId="36" xfId="0" applyFont="1" applyBorder="1" applyAlignment="1">
      <alignment horizontal="center" vertical="top"/>
    </xf>
    <xf numFmtId="2" fontId="1" fillId="0" borderId="37" xfId="0" applyNumberFormat="1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/>
    </xf>
    <xf numFmtId="0" fontId="11" fillId="0" borderId="38" xfId="0" applyFont="1" applyBorder="1" applyAlignment="1">
      <alignment horizontal="center" vertical="top"/>
    </xf>
    <xf numFmtId="0" fontId="11" fillId="0" borderId="34" xfId="0" applyFont="1" applyBorder="1" applyAlignment="1">
      <alignment horizontal="center" vertical="top"/>
    </xf>
    <xf numFmtId="1" fontId="11" fillId="3" borderId="39" xfId="0" applyNumberFormat="1" applyFont="1" applyFill="1" applyBorder="1" applyAlignment="1">
      <alignment horizontal="center" vertical="top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164" fontId="1" fillId="0" borderId="41" xfId="0" applyNumberFormat="1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1" fontId="1" fillId="0" borderId="40" xfId="0" applyNumberFormat="1" applyFont="1" applyBorder="1" applyAlignment="1">
      <alignment vertical="top" wrapText="1"/>
    </xf>
    <xf numFmtId="164" fontId="1" fillId="0" borderId="41" xfId="0" applyNumberFormat="1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1" fillId="0" borderId="40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44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46" xfId="0" applyFont="1" applyBorder="1" applyAlignment="1">
      <alignment horizontal="center" vertical="top" wrapText="1"/>
    </xf>
    <xf numFmtId="0" fontId="1" fillId="0" borderId="47" xfId="0" applyFont="1" applyBorder="1" applyAlignment="1">
      <alignment horizontal="center" vertical="top" wrapText="1"/>
    </xf>
    <xf numFmtId="1" fontId="1" fillId="0" borderId="45" xfId="0" applyNumberFormat="1" applyFont="1" applyBorder="1" applyAlignment="1">
      <alignment vertical="top" wrapText="1"/>
    </xf>
    <xf numFmtId="1" fontId="1" fillId="0" borderId="48" xfId="0" applyNumberFormat="1" applyFont="1" applyBorder="1" applyAlignment="1">
      <alignment vertical="top" wrapText="1"/>
    </xf>
    <xf numFmtId="2" fontId="4" fillId="0" borderId="6" xfId="0" applyNumberFormat="1" applyFont="1" applyBorder="1" applyAlignment="1">
      <alignment horizontal="center" vertical="top" wrapText="1"/>
    </xf>
    <xf numFmtId="1" fontId="4" fillId="0" borderId="6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0" fontId="4" fillId="0" borderId="17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17" fontId="4" fillId="0" borderId="27" xfId="0" applyNumberFormat="1" applyFont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 wrapText="1"/>
    </xf>
    <xf numFmtId="0" fontId="13" fillId="0" borderId="33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center" vertical="top" wrapText="1"/>
    </xf>
    <xf numFmtId="0" fontId="8" fillId="0" borderId="53" xfId="0" applyFont="1" applyBorder="1" applyAlignment="1">
      <alignment horizontal="center" vertical="top" wrapText="1"/>
    </xf>
    <xf numFmtId="0" fontId="13" fillId="0" borderId="54" xfId="0" applyFont="1" applyBorder="1" applyAlignment="1">
      <alignment horizontal="center" vertical="top" wrapText="1"/>
    </xf>
    <xf numFmtId="0" fontId="8" fillId="0" borderId="55" xfId="0" applyFont="1" applyBorder="1" applyAlignment="1">
      <alignment horizontal="center" vertical="top" wrapText="1"/>
    </xf>
    <xf numFmtId="164" fontId="1" fillId="0" borderId="33" xfId="0" applyNumberFormat="1" applyFont="1" applyBorder="1" applyAlignment="1">
      <alignment horizontal="center" vertical="top" wrapText="1"/>
    </xf>
    <xf numFmtId="0" fontId="13" fillId="0" borderId="3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41" xfId="0" applyFont="1" applyBorder="1" applyAlignment="1">
      <alignment horizontal="center" vertical="top" wrapText="1"/>
    </xf>
    <xf numFmtId="0" fontId="13" fillId="0" borderId="56" xfId="0" applyFont="1" applyBorder="1" applyAlignment="1">
      <alignment horizontal="center" vertical="top" wrapText="1"/>
    </xf>
    <xf numFmtId="0" fontId="8" fillId="0" borderId="57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58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2" borderId="17" xfId="0" applyFont="1" applyFill="1" applyBorder="1" applyAlignment="1">
      <alignment horizontal="center" vertical="top" wrapText="1"/>
    </xf>
    <xf numFmtId="0" fontId="9" fillId="0" borderId="41" xfId="0" applyFont="1" applyBorder="1" applyAlignment="1">
      <alignment horizontal="center" vertical="top" wrapText="1"/>
    </xf>
    <xf numFmtId="0" fontId="14" fillId="0" borderId="30" xfId="0" applyFont="1" applyBorder="1" applyAlignment="1">
      <alignment horizontal="center" vertical="top"/>
    </xf>
    <xf numFmtId="0" fontId="14" fillId="0" borderId="35" xfId="0" applyFont="1" applyBorder="1" applyAlignment="1">
      <alignment horizontal="center" vertical="top"/>
    </xf>
    <xf numFmtId="0" fontId="14" fillId="0" borderId="39" xfId="0" applyFont="1" applyBorder="1" applyAlignment="1">
      <alignment horizontal="center" vertical="top"/>
    </xf>
    <xf numFmtId="0" fontId="14" fillId="0" borderId="38" xfId="0" applyFont="1" applyBorder="1" applyAlignment="1">
      <alignment horizontal="center" vertical="top"/>
    </xf>
    <xf numFmtId="0" fontId="9" fillId="0" borderId="59" xfId="0" applyFont="1" applyBorder="1" applyAlignment="1">
      <alignment horizontal="center" vertical="top" wrapText="1"/>
    </xf>
    <xf numFmtId="0" fontId="14" fillId="0" borderId="60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9" fillId="0" borderId="34" xfId="0" applyFont="1" applyBorder="1" applyAlignment="1">
      <alignment horizontal="center" vertical="top" wrapText="1"/>
    </xf>
    <xf numFmtId="0" fontId="9" fillId="0" borderId="31" xfId="0" applyFont="1" applyBorder="1" applyAlignment="1">
      <alignment horizontal="center" vertical="top" wrapText="1"/>
    </xf>
    <xf numFmtId="1" fontId="1" fillId="0" borderId="40" xfId="0" applyNumberFormat="1" applyFont="1" applyBorder="1" applyAlignment="1">
      <alignment horizontal="center" vertical="top" wrapText="1"/>
    </xf>
    <xf numFmtId="0" fontId="9" fillId="0" borderId="43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165" fontId="15" fillId="0" borderId="27" xfId="0" applyNumberFormat="1" applyFont="1" applyBorder="1" applyAlignment="1">
      <alignment horizontal="center" vertical="top" wrapText="1"/>
    </xf>
    <xf numFmtId="165" fontId="15" fillId="0" borderId="42" xfId="0" applyNumberFormat="1" applyFont="1" applyBorder="1" applyAlignment="1">
      <alignment horizontal="center" vertical="top" wrapText="1"/>
    </xf>
    <xf numFmtId="165" fontId="15" fillId="0" borderId="41" xfId="0" applyNumberFormat="1" applyFont="1" applyBorder="1" applyAlignment="1">
      <alignment horizontal="center" vertical="top" wrapText="1"/>
    </xf>
    <xf numFmtId="165" fontId="15" fillId="0" borderId="58" xfId="0" applyNumberFormat="1" applyFont="1" applyBorder="1" applyAlignment="1">
      <alignment horizontal="center" vertical="top" wrapText="1"/>
    </xf>
    <xf numFmtId="165" fontId="8" fillId="0" borderId="53" xfId="0" applyNumberFormat="1" applyFont="1" applyBorder="1" applyAlignment="1">
      <alignment horizontal="center" vertical="top" wrapText="1"/>
    </xf>
    <xf numFmtId="1" fontId="1" fillId="0" borderId="40" xfId="0" applyNumberFormat="1" applyFont="1" applyBorder="1" applyAlignment="1">
      <alignment horizontal="center" vertical="top" wrapText="1"/>
    </xf>
    <xf numFmtId="165" fontId="15" fillId="0" borderId="59" xfId="0" applyNumberFormat="1" applyFont="1" applyBorder="1" applyAlignment="1">
      <alignment horizontal="center" vertical="top" wrapText="1"/>
    </xf>
    <xf numFmtId="165" fontId="15" fillId="0" borderId="24" xfId="0" applyNumberFormat="1" applyFont="1" applyBorder="1" applyAlignment="1">
      <alignment horizontal="center" vertical="top" wrapText="1"/>
    </xf>
    <xf numFmtId="165" fontId="15" fillId="0" borderId="23" xfId="0" applyNumberFormat="1" applyFont="1" applyBorder="1" applyAlignment="1">
      <alignment horizontal="center" vertical="top" wrapText="1"/>
    </xf>
    <xf numFmtId="165" fontId="15" fillId="0" borderId="61" xfId="0" applyNumberFormat="1" applyFont="1" applyBorder="1" applyAlignment="1">
      <alignment horizontal="center" vertical="top" wrapText="1"/>
    </xf>
    <xf numFmtId="165" fontId="8" fillId="0" borderId="32" xfId="0" applyNumberFormat="1" applyFont="1" applyBorder="1" applyAlignment="1">
      <alignment horizontal="center" vertical="top" wrapText="1"/>
    </xf>
    <xf numFmtId="0" fontId="4" fillId="0" borderId="57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62" xfId="0" applyFont="1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2" fontId="2" fillId="0" borderId="8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7" fillId="0" borderId="0" xfId="0" applyFont="1" applyAlignment="1">
      <alignment vertical="top"/>
    </xf>
    <xf numFmtId="0" fontId="4" fillId="0" borderId="63" xfId="0" applyFont="1" applyBorder="1" applyAlignment="1">
      <alignment vertical="top" wrapText="1"/>
    </xf>
    <xf numFmtId="0" fontId="4" fillId="0" borderId="64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63" xfId="0" applyFont="1" applyBorder="1" applyAlignment="1">
      <alignment horizontal="left" vertical="top" wrapText="1"/>
    </xf>
    <xf numFmtId="0" fontId="4" fillId="0" borderId="62" xfId="0" applyFont="1" applyBorder="1" applyAlignment="1">
      <alignment horizontal="left" vertical="top" wrapText="1"/>
    </xf>
    <xf numFmtId="0" fontId="4" fillId="0" borderId="65" xfId="0" applyFont="1" applyBorder="1" applyAlignment="1">
      <alignment vertical="top" wrapText="1"/>
    </xf>
    <xf numFmtId="0" fontId="4" fillId="0" borderId="62" xfId="0" applyFont="1" applyBorder="1" applyAlignment="1">
      <alignment vertical="top" wrapText="1"/>
    </xf>
    <xf numFmtId="0" fontId="4" fillId="0" borderId="57" xfId="0" applyFont="1" applyBorder="1" applyAlignment="1">
      <alignment vertical="top" wrapText="1"/>
    </xf>
    <xf numFmtId="0" fontId="4" fillId="0" borderId="33" xfId="0" applyFont="1" applyBorder="1" applyAlignment="1">
      <alignment horizontal="center" vertical="top" wrapText="1"/>
    </xf>
    <xf numFmtId="0" fontId="18" fillId="0" borderId="57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top" wrapText="1"/>
    </xf>
    <xf numFmtId="0" fontId="7" fillId="2" borderId="57" xfId="0" applyFont="1" applyFill="1" applyBorder="1" applyAlignment="1">
      <alignment horizontal="center" vertical="top" wrapText="1"/>
    </xf>
    <xf numFmtId="0" fontId="7" fillId="0" borderId="57" xfId="0" applyFont="1" applyBorder="1" applyAlignment="1">
      <alignment horizontal="center" vertical="top" wrapText="1"/>
    </xf>
    <xf numFmtId="2" fontId="1" fillId="0" borderId="31" xfId="0" applyNumberFormat="1" applyFont="1" applyBorder="1" applyAlignment="1">
      <alignment horizontal="center" vertical="top" wrapText="1"/>
    </xf>
    <xf numFmtId="2" fontId="1" fillId="0" borderId="40" xfId="0" applyNumberFormat="1" applyFont="1" applyBorder="1" applyAlignment="1">
      <alignment horizontal="center" vertical="top" wrapText="1"/>
    </xf>
    <xf numFmtId="10" fontId="1" fillId="0" borderId="9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 vertical="top" wrapText="1"/>
    </xf>
    <xf numFmtId="10" fontId="1" fillId="0" borderId="66" xfId="0" applyNumberFormat="1" applyFont="1" applyBorder="1" applyAlignment="1">
      <alignment horizontal="center"/>
    </xf>
    <xf numFmtId="1" fontId="1" fillId="0" borderId="42" xfId="0" applyNumberFormat="1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1" fontId="19" fillId="0" borderId="17" xfId="0" applyNumberFormat="1" applyFont="1" applyBorder="1" applyAlignment="1">
      <alignment horizontal="center"/>
    </xf>
    <xf numFmtId="1" fontId="20" fillId="0" borderId="0" xfId="0" applyNumberFormat="1" applyFont="1" applyAlignment="1">
      <alignment horizontal="center"/>
    </xf>
    <xf numFmtId="1" fontId="1" fillId="0" borderId="42" xfId="0" applyNumberFormat="1" applyFont="1" applyBorder="1" applyAlignment="1">
      <alignment horizontal="center" vertical="top" wrapText="1"/>
    </xf>
    <xf numFmtId="1" fontId="1" fillId="0" borderId="31" xfId="0" applyNumberFormat="1" applyFont="1" applyBorder="1" applyAlignment="1">
      <alignment horizontal="center" vertical="top" wrapText="1"/>
    </xf>
    <xf numFmtId="0" fontId="4" fillId="0" borderId="67" xfId="0" applyFont="1" applyBorder="1" applyAlignment="1">
      <alignment horizontal="center" vertical="top" wrapText="1"/>
    </xf>
    <xf numFmtId="0" fontId="1" fillId="5" borderId="17" xfId="0" applyFont="1" applyFill="1" applyBorder="1" applyAlignment="1">
      <alignment horizontal="center" vertical="top" wrapText="1"/>
    </xf>
    <xf numFmtId="166" fontId="1" fillId="0" borderId="17" xfId="0" applyNumberFormat="1" applyFont="1" applyBorder="1" applyAlignment="1">
      <alignment horizontal="center" vertical="top" wrapText="1"/>
    </xf>
    <xf numFmtId="0" fontId="4" fillId="0" borderId="63" xfId="0" applyFont="1" applyBorder="1" applyAlignment="1">
      <alignment horizontal="center" vertical="top" wrapText="1"/>
    </xf>
    <xf numFmtId="0" fontId="4" fillId="0" borderId="64" xfId="0" applyFont="1" applyBorder="1" applyAlignment="1">
      <alignment horizontal="center" vertical="top" wrapText="1"/>
    </xf>
    <xf numFmtId="0" fontId="4" fillId="0" borderId="62" xfId="0" applyFont="1" applyBorder="1" applyAlignment="1">
      <alignment horizontal="center" vertical="top" wrapText="1"/>
    </xf>
    <xf numFmtId="0" fontId="4" fillId="0" borderId="65" xfId="0" applyFont="1" applyBorder="1" applyAlignment="1">
      <alignment horizontal="center" vertical="top" wrapText="1"/>
    </xf>
    <xf numFmtId="1" fontId="4" fillId="0" borderId="65" xfId="0" applyNumberFormat="1" applyFont="1" applyBorder="1" applyAlignment="1">
      <alignment horizontal="center" vertical="top" wrapText="1"/>
    </xf>
    <xf numFmtId="2" fontId="4" fillId="0" borderId="65" xfId="0" applyNumberFormat="1" applyFont="1" applyBorder="1" applyAlignment="1">
      <alignment horizontal="center" vertical="top" wrapText="1"/>
    </xf>
    <xf numFmtId="10" fontId="1" fillId="0" borderId="57" xfId="0" applyNumberFormat="1" applyFont="1" applyBorder="1"/>
    <xf numFmtId="10" fontId="1" fillId="0" borderId="0" xfId="0" applyNumberFormat="1" applyFont="1" applyAlignment="1">
      <alignment vertical="top" wrapText="1"/>
    </xf>
    <xf numFmtId="0" fontId="1" fillId="2" borderId="68" xfId="0" applyFont="1" applyFill="1" applyBorder="1" applyAlignment="1">
      <alignment vertical="top" wrapText="1"/>
    </xf>
    <xf numFmtId="0" fontId="22" fillId="7" borderId="17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6" fillId="10" borderId="78" xfId="0" applyFont="1" applyFill="1" applyBorder="1" applyAlignment="1">
      <alignment horizontal="center" wrapText="1"/>
    </xf>
    <xf numFmtId="0" fontId="6" fillId="10" borderId="83" xfId="0" applyFont="1" applyFill="1" applyBorder="1" applyAlignment="1">
      <alignment horizontal="center" wrapText="1"/>
    </xf>
    <xf numFmtId="0" fontId="22" fillId="0" borderId="17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/>
    </xf>
    <xf numFmtId="0" fontId="24" fillId="0" borderId="17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24" fillId="0" borderId="57" xfId="0" applyFont="1" applyBorder="1" applyAlignment="1">
      <alignment horizontal="center" wrapText="1"/>
    </xf>
    <xf numFmtId="0" fontId="25" fillId="3" borderId="57" xfId="0" applyFont="1" applyFill="1" applyBorder="1" applyAlignment="1">
      <alignment horizontal="center" wrapText="1"/>
    </xf>
    <xf numFmtId="0" fontId="8" fillId="0" borderId="57" xfId="0" applyFont="1" applyBorder="1" applyAlignment="1">
      <alignment horizontal="center" wrapText="1"/>
    </xf>
    <xf numFmtId="0" fontId="24" fillId="2" borderId="57" xfId="0" applyFont="1" applyFill="1" applyBorder="1" applyAlignment="1">
      <alignment horizontal="center" wrapText="1"/>
    </xf>
    <xf numFmtId="10" fontId="8" fillId="0" borderId="57" xfId="0" applyNumberFormat="1" applyFont="1" applyBorder="1" applyAlignment="1">
      <alignment horizontal="center" wrapText="1"/>
    </xf>
    <xf numFmtId="0" fontId="26" fillId="0" borderId="57" xfId="0" applyFont="1" applyBorder="1" applyAlignment="1">
      <alignment horizontal="center" wrapText="1"/>
    </xf>
    <xf numFmtId="10" fontId="8" fillId="0" borderId="6" xfId="0" applyNumberFormat="1" applyFont="1" applyBorder="1" applyAlignment="1">
      <alignment horizontal="center" wrapText="1"/>
    </xf>
    <xf numFmtId="0" fontId="1" fillId="0" borderId="57" xfId="0" applyFont="1" applyBorder="1"/>
    <xf numFmtId="0" fontId="8" fillId="0" borderId="57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center" wrapText="1"/>
    </xf>
    <xf numFmtId="0" fontId="18" fillId="0" borderId="57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24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3" fillId="2" borderId="17" xfId="0" applyFont="1" applyFill="1" applyBorder="1" applyAlignment="1">
      <alignment horizontal="center"/>
    </xf>
    <xf numFmtId="1" fontId="23" fillId="0" borderId="17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5" fillId="3" borderId="17" xfId="0" applyFont="1" applyFill="1" applyBorder="1" applyAlignment="1">
      <alignment horizontal="center"/>
    </xf>
    <xf numFmtId="0" fontId="24" fillId="5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8" fillId="0" borderId="57" xfId="0" applyFont="1" applyBorder="1" applyAlignment="1">
      <alignment horizontal="center" wrapText="1"/>
    </xf>
    <xf numFmtId="0" fontId="23" fillId="0" borderId="0" xfId="0" applyFont="1"/>
    <xf numFmtId="0" fontId="23" fillId="0" borderId="73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23" fillId="3" borderId="84" xfId="0" applyFont="1" applyFill="1" applyBorder="1" applyAlignment="1">
      <alignment horizontal="center" vertical="top" wrapText="1"/>
    </xf>
    <xf numFmtId="0" fontId="23" fillId="0" borderId="84" xfId="0" applyFont="1" applyBorder="1" applyAlignment="1">
      <alignment horizontal="center" vertical="top" wrapText="1"/>
    </xf>
    <xf numFmtId="0" fontId="11" fillId="0" borderId="0" xfId="0" applyFont="1"/>
    <xf numFmtId="0" fontId="1" fillId="4" borderId="68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6" xfId="0" applyFont="1" applyBorder="1" applyAlignment="1">
      <alignment horizontal="center" vertical="center" wrapText="1"/>
    </xf>
    <xf numFmtId="0" fontId="8" fillId="2" borderId="85" xfId="0" applyFont="1" applyFill="1" applyBorder="1" applyAlignment="1">
      <alignment horizontal="center" vertical="top" wrapText="1"/>
    </xf>
    <xf numFmtId="0" fontId="8" fillId="2" borderId="86" xfId="0" applyFont="1" applyFill="1" applyBorder="1" applyAlignment="1">
      <alignment horizontal="center" vertical="top" wrapText="1"/>
    </xf>
    <xf numFmtId="0" fontId="8" fillId="2" borderId="87" xfId="0" applyFont="1" applyFill="1" applyBorder="1" applyAlignment="1">
      <alignment horizontal="center" vertical="top" wrapText="1"/>
    </xf>
    <xf numFmtId="0" fontId="6" fillId="2" borderId="88" xfId="0" applyFont="1" applyFill="1" applyBorder="1" applyAlignment="1">
      <alignment horizontal="center" vertical="top" wrapText="1"/>
    </xf>
    <xf numFmtId="0" fontId="6" fillId="2" borderId="89" xfId="0" applyFont="1" applyFill="1" applyBorder="1" applyAlignment="1">
      <alignment horizontal="center" vertical="top" wrapText="1"/>
    </xf>
    <xf numFmtId="0" fontId="7" fillId="2" borderId="90" xfId="0" applyFont="1" applyFill="1" applyBorder="1" applyAlignment="1">
      <alignment horizontal="center" vertical="top" wrapText="1"/>
    </xf>
    <xf numFmtId="2" fontId="1" fillId="0" borderId="41" xfId="0" applyNumberFormat="1" applyFont="1" applyBorder="1" applyAlignment="1">
      <alignment horizontal="center" vertical="top"/>
    </xf>
    <xf numFmtId="0" fontId="7" fillId="0" borderId="54" xfId="0" applyFont="1" applyBorder="1" applyAlignment="1">
      <alignment horizontal="center" vertical="top" wrapText="1"/>
    </xf>
    <xf numFmtId="0" fontId="7" fillId="0" borderId="91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2" fontId="1" fillId="0" borderId="29" xfId="0" applyNumberFormat="1" applyFont="1" applyBorder="1" applyAlignment="1">
      <alignment horizontal="center" vertical="top"/>
    </xf>
    <xf numFmtId="2" fontId="1" fillId="0" borderId="15" xfId="0" applyNumberFormat="1" applyFont="1" applyBorder="1" applyAlignment="1">
      <alignment horizontal="center" vertical="top"/>
    </xf>
    <xf numFmtId="2" fontId="1" fillId="0" borderId="33" xfId="0" applyNumberFormat="1" applyFont="1" applyBorder="1" applyAlignment="1">
      <alignment horizontal="center" vertical="top"/>
    </xf>
    <xf numFmtId="0" fontId="8" fillId="2" borderId="93" xfId="0" applyFont="1" applyFill="1" applyBorder="1" applyAlignment="1">
      <alignment horizontal="center" vertical="top" wrapText="1"/>
    </xf>
    <xf numFmtId="0" fontId="7" fillId="2" borderId="56" xfId="0" applyFont="1" applyFill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41" xfId="0" applyFont="1" applyBorder="1" applyAlignment="1">
      <alignment horizontal="center" vertical="top"/>
    </xf>
    <xf numFmtId="0" fontId="8" fillId="0" borderId="93" xfId="0" applyFont="1" applyBorder="1" applyAlignment="1">
      <alignment horizontal="center" vertical="top" wrapText="1"/>
    </xf>
    <xf numFmtId="0" fontId="8" fillId="0" borderId="94" xfId="0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1" fontId="1" fillId="0" borderId="66" xfId="0" applyNumberFormat="1" applyFont="1" applyBorder="1" applyAlignment="1">
      <alignment horizontal="center" vertical="top" wrapText="1"/>
    </xf>
    <xf numFmtId="0" fontId="1" fillId="0" borderId="95" xfId="0" applyFont="1" applyBorder="1" applyAlignment="1">
      <alignment horizontal="center" vertical="top" wrapText="1"/>
    </xf>
    <xf numFmtId="1" fontId="20" fillId="0" borderId="96" xfId="0" applyNumberFormat="1" applyFont="1" applyBorder="1" applyAlignment="1">
      <alignment horizontal="center" vertical="top"/>
    </xf>
    <xf numFmtId="0" fontId="20" fillId="0" borderId="97" xfId="0" applyFont="1" applyBorder="1" applyAlignment="1">
      <alignment horizontal="center" vertical="top"/>
    </xf>
    <xf numFmtId="0" fontId="20" fillId="5" borderId="36" xfId="0" applyFont="1" applyFill="1" applyBorder="1" applyAlignment="1">
      <alignment horizontal="center" vertical="top"/>
    </xf>
    <xf numFmtId="1" fontId="1" fillId="0" borderId="66" xfId="0" applyNumberFormat="1" applyFont="1" applyBorder="1" applyAlignment="1">
      <alignment horizontal="center" vertical="top" wrapText="1"/>
    </xf>
    <xf numFmtId="0" fontId="1" fillId="0" borderId="95" xfId="0" applyFont="1" applyBorder="1" applyAlignment="1">
      <alignment horizontal="center" vertical="top" wrapText="1"/>
    </xf>
    <xf numFmtId="0" fontId="8" fillId="2" borderId="87" xfId="0" applyFont="1" applyFill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/>
    </xf>
    <xf numFmtId="0" fontId="1" fillId="0" borderId="42" xfId="0" applyFont="1" applyBorder="1" applyAlignment="1">
      <alignment horizontal="center" vertical="top"/>
    </xf>
    <xf numFmtId="0" fontId="28" fillId="0" borderId="92" xfId="0" applyFont="1" applyBorder="1" applyAlignment="1">
      <alignment horizontal="center" vertical="top"/>
    </xf>
    <xf numFmtId="0" fontId="1" fillId="2" borderId="98" xfId="0" applyFont="1" applyFill="1" applyBorder="1" applyAlignment="1">
      <alignment horizontal="center" vertical="top" wrapText="1"/>
    </xf>
    <xf numFmtId="1" fontId="1" fillId="0" borderId="42" xfId="0" applyNumberFormat="1" applyFont="1" applyBorder="1" applyAlignment="1">
      <alignment horizontal="center" vertical="top"/>
    </xf>
    <xf numFmtId="0" fontId="28" fillId="0" borderId="92" xfId="0" applyFont="1" applyBorder="1" applyAlignment="1">
      <alignment horizontal="center" vertical="top"/>
    </xf>
    <xf numFmtId="1" fontId="1" fillId="0" borderId="99" xfId="0" applyNumberFormat="1" applyFont="1" applyBorder="1" applyAlignment="1">
      <alignment horizontal="center" vertical="top" wrapText="1"/>
    </xf>
    <xf numFmtId="0" fontId="1" fillId="0" borderId="100" xfId="0" applyFont="1" applyBorder="1" applyAlignment="1">
      <alignment horizontal="center" vertical="top" wrapText="1"/>
    </xf>
    <xf numFmtId="0" fontId="1" fillId="4" borderId="68" xfId="0" applyFont="1" applyFill="1" applyBorder="1" applyAlignment="1">
      <alignment vertic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0" xfId="0" applyFont="1"/>
    <xf numFmtId="17" fontId="6" fillId="0" borderId="17" xfId="0" applyNumberFormat="1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1" fillId="0" borderId="17" xfId="0" applyFont="1" applyBorder="1"/>
    <xf numFmtId="17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57" xfId="0" applyFont="1" applyBorder="1" applyAlignment="1">
      <alignment horizontal="center" wrapText="1"/>
    </xf>
    <xf numFmtId="0" fontId="6" fillId="0" borderId="57" xfId="0" applyFont="1" applyBorder="1" applyAlignment="1">
      <alignment horizontal="center" vertical="top" wrapText="1"/>
    </xf>
    <xf numFmtId="17" fontId="4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/>
    </xf>
    <xf numFmtId="17" fontId="6" fillId="0" borderId="4" xfId="0" applyNumberFormat="1" applyFont="1" applyBorder="1" applyAlignment="1">
      <alignment horizontal="center" wrapText="1"/>
    </xf>
    <xf numFmtId="0" fontId="7" fillId="0" borderId="55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/>
    </xf>
    <xf numFmtId="0" fontId="1" fillId="0" borderId="20" xfId="0" applyFont="1" applyBorder="1" applyAlignment="1"/>
    <xf numFmtId="0" fontId="1" fillId="0" borderId="20" xfId="0" applyFont="1" applyBorder="1"/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5" xfId="0" applyFont="1" applyBorder="1"/>
    <xf numFmtId="17" fontId="6" fillId="0" borderId="59" xfId="0" applyNumberFormat="1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14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wrapText="1"/>
    </xf>
    <xf numFmtId="0" fontId="1" fillId="0" borderId="42" xfId="0" applyFont="1" applyBorder="1"/>
    <xf numFmtId="0" fontId="6" fillId="0" borderId="41" xfId="0" applyFont="1" applyBorder="1" applyAlignment="1">
      <alignment horizontal="center" wrapText="1"/>
    </xf>
    <xf numFmtId="17" fontId="6" fillId="0" borderId="42" xfId="0" applyNumberFormat="1" applyFont="1" applyBorder="1" applyAlignment="1">
      <alignment horizontal="center" wrapText="1"/>
    </xf>
    <xf numFmtId="0" fontId="7" fillId="0" borderId="41" xfId="0" applyFont="1" applyBorder="1" applyAlignment="1">
      <alignment horizontal="center" vertical="top" wrapText="1"/>
    </xf>
    <xf numFmtId="0" fontId="1" fillId="0" borderId="41" xfId="0" applyFont="1" applyBorder="1" applyAlignment="1">
      <alignment vertical="top"/>
    </xf>
    <xf numFmtId="0" fontId="1" fillId="0" borderId="41" xfId="0" applyFont="1" applyBorder="1"/>
    <xf numFmtId="0" fontId="1" fillId="0" borderId="17" xfId="0" applyFont="1" applyBorder="1" applyAlignment="1"/>
    <xf numFmtId="0" fontId="1" fillId="0" borderId="41" xfId="0" applyFont="1" applyBorder="1" applyAlignment="1"/>
    <xf numFmtId="0" fontId="1" fillId="0" borderId="41" xfId="0" applyFont="1" applyBorder="1" applyAlignment="1">
      <alignment horizontal="center"/>
    </xf>
    <xf numFmtId="17" fontId="6" fillId="0" borderId="44" xfId="0" applyNumberFormat="1" applyFont="1" applyBorder="1" applyAlignment="1">
      <alignment horizontal="center" wrapText="1"/>
    </xf>
    <xf numFmtId="0" fontId="1" fillId="0" borderId="45" xfId="0" applyFont="1" applyBorder="1"/>
    <xf numFmtId="0" fontId="1" fillId="0" borderId="47" xfId="0" applyFont="1" applyBorder="1"/>
    <xf numFmtId="0" fontId="1" fillId="0" borderId="47" xfId="0" applyFont="1" applyBorder="1" applyAlignment="1">
      <alignment vertical="top"/>
    </xf>
    <xf numFmtId="0" fontId="4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center" wrapText="1"/>
    </xf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horizontal="center" vertical="top"/>
    </xf>
    <xf numFmtId="0" fontId="4" fillId="0" borderId="47" xfId="0" applyFont="1" applyBorder="1" applyAlignment="1">
      <alignment horizontal="center" vertical="top"/>
    </xf>
    <xf numFmtId="0" fontId="4" fillId="0" borderId="44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31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28" fillId="0" borderId="103" xfId="0" applyFont="1" applyBorder="1" applyAlignment="1">
      <alignment horizontal="center" vertical="top"/>
    </xf>
    <xf numFmtId="0" fontId="28" fillId="0" borderId="103" xfId="0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4" fillId="0" borderId="27" xfId="0" applyFont="1" applyBorder="1" applyAlignment="1">
      <alignment vertical="top" wrapText="1"/>
    </xf>
    <xf numFmtId="17" fontId="4" fillId="0" borderId="0" xfId="0" applyNumberFormat="1" applyFont="1" applyAlignment="1">
      <alignment horizontal="center" vertical="top"/>
    </xf>
    <xf numFmtId="0" fontId="4" fillId="0" borderId="104" xfId="0" applyFont="1" applyBorder="1" applyAlignment="1">
      <alignment horizontal="center" vertical="top" wrapText="1"/>
    </xf>
    <xf numFmtId="0" fontId="6" fillId="0" borderId="57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10" fillId="0" borderId="31" xfId="0" applyFont="1" applyBorder="1" applyAlignment="1">
      <alignment vertical="top"/>
    </xf>
    <xf numFmtId="0" fontId="10" fillId="0" borderId="33" xfId="0" applyFont="1" applyBorder="1" applyAlignment="1">
      <alignment vertical="top"/>
    </xf>
    <xf numFmtId="0" fontId="10" fillId="0" borderId="17" xfId="0" applyFont="1" applyBorder="1" applyAlignment="1">
      <alignment vertical="top"/>
    </xf>
    <xf numFmtId="0" fontId="10" fillId="0" borderId="41" xfId="0" applyFont="1" applyBorder="1" applyAlignment="1">
      <alignment vertical="top"/>
    </xf>
    <xf numFmtId="0" fontId="10" fillId="0" borderId="17" xfId="0" applyFont="1" applyBorder="1" applyAlignment="1">
      <alignment horizontal="center" vertical="top"/>
    </xf>
    <xf numFmtId="0" fontId="10" fillId="0" borderId="41" xfId="0" applyFont="1" applyBorder="1" applyAlignment="1">
      <alignment horizontal="center" vertical="top"/>
    </xf>
    <xf numFmtId="0" fontId="10" fillId="0" borderId="45" xfId="0" applyFont="1" applyBorder="1" applyAlignment="1">
      <alignment vertical="top"/>
    </xf>
    <xf numFmtId="0" fontId="10" fillId="0" borderId="47" xfId="0" applyFont="1" applyBorder="1" applyAlignment="1">
      <alignment vertical="top"/>
    </xf>
    <xf numFmtId="0" fontId="4" fillId="0" borderId="20" xfId="0" applyFont="1" applyBorder="1" applyAlignment="1">
      <alignment vertical="top" wrapText="1"/>
    </xf>
    <xf numFmtId="17" fontId="4" fillId="0" borderId="17" xfId="0" applyNumberFormat="1" applyFont="1" applyBorder="1" applyAlignment="1">
      <alignment vertical="top" wrapText="1"/>
    </xf>
    <xf numFmtId="0" fontId="8" fillId="3" borderId="17" xfId="0" applyFont="1" applyFill="1" applyBorder="1" applyAlignment="1">
      <alignment horizontal="center" wrapText="1"/>
    </xf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horizontal="center" vertical="top"/>
    </xf>
    <xf numFmtId="0" fontId="20" fillId="3" borderId="17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 vertical="top"/>
    </xf>
    <xf numFmtId="0" fontId="32" fillId="0" borderId="17" xfId="0" applyFont="1" applyBorder="1" applyAlignment="1">
      <alignment horizontal="center" wrapText="1"/>
    </xf>
    <xf numFmtId="0" fontId="32" fillId="0" borderId="17" xfId="0" applyFont="1" applyBorder="1" applyAlignment="1">
      <alignment horizontal="center" vertical="center"/>
    </xf>
    <xf numFmtId="0" fontId="1" fillId="0" borderId="0" xfId="0" applyFont="1" applyAlignment="1"/>
    <xf numFmtId="0" fontId="26" fillId="0" borderId="105" xfId="0" applyFont="1" applyBorder="1" applyAlignment="1">
      <alignment horizontal="center" wrapText="1"/>
    </xf>
    <xf numFmtId="0" fontId="29" fillId="0" borderId="108" xfId="0" applyFont="1" applyBorder="1" applyAlignment="1">
      <alignment horizontal="left" vertical="top"/>
    </xf>
    <xf numFmtId="0" fontId="29" fillId="0" borderId="109" xfId="0" applyFont="1" applyBorder="1" applyAlignment="1">
      <alignment horizontal="left" vertical="top"/>
    </xf>
    <xf numFmtId="0" fontId="29" fillId="0" borderId="110" xfId="0" applyFont="1" applyBorder="1" applyAlignment="1">
      <alignment horizontal="left" vertical="top"/>
    </xf>
    <xf numFmtId="0" fontId="29" fillId="0" borderId="17" xfId="0" applyFont="1" applyBorder="1" applyAlignment="1">
      <alignment horizontal="left" vertical="top"/>
    </xf>
    <xf numFmtId="0" fontId="26" fillId="0" borderId="111" xfId="0" applyFont="1" applyBorder="1" applyAlignment="1">
      <alignment horizontal="center" wrapText="1"/>
    </xf>
    <xf numFmtId="0" fontId="20" fillId="0" borderId="114" xfId="0" applyFont="1" applyBorder="1" applyAlignment="1">
      <alignment horizontal="center" vertical="top"/>
    </xf>
    <xf numFmtId="0" fontId="20" fillId="0" borderId="38" xfId="0" applyFont="1" applyBorder="1" applyAlignment="1">
      <alignment horizontal="center" vertical="top"/>
    </xf>
    <xf numFmtId="0" fontId="20" fillId="5" borderId="17" xfId="0" applyFont="1" applyFill="1" applyBorder="1" applyAlignment="1">
      <alignment horizontal="center" vertical="top"/>
    </xf>
    <xf numFmtId="0" fontId="18" fillId="0" borderId="0" xfId="0" applyFont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91" xfId="0" applyFont="1" applyBorder="1" applyAlignment="1">
      <alignment horizontal="center" wrapText="1"/>
    </xf>
    <xf numFmtId="0" fontId="1" fillId="0" borderId="5" xfId="0" applyFont="1" applyBorder="1"/>
    <xf numFmtId="0" fontId="1" fillId="0" borderId="4" xfId="0" applyFont="1" applyBorder="1"/>
    <xf numFmtId="0" fontId="8" fillId="0" borderId="55" xfId="0" applyFont="1" applyBorder="1" applyAlignment="1">
      <alignment horizontal="center" wrapText="1"/>
    </xf>
    <xf numFmtId="0" fontId="20" fillId="0" borderId="35" xfId="0" applyFont="1" applyBorder="1" applyAlignment="1">
      <alignment horizontal="center" vertical="top"/>
    </xf>
    <xf numFmtId="0" fontId="20" fillId="0" borderId="60" xfId="0" applyFont="1" applyBorder="1" applyAlignment="1">
      <alignment horizontal="center" vertical="top"/>
    </xf>
    <xf numFmtId="0" fontId="1" fillId="0" borderId="7" xfId="0" applyFont="1" applyBorder="1"/>
    <xf numFmtId="0" fontId="1" fillId="0" borderId="6" xfId="0" applyFont="1" applyBorder="1"/>
    <xf numFmtId="0" fontId="11" fillId="0" borderId="60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58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58" xfId="0" applyFont="1" applyBorder="1" applyAlignment="1">
      <alignment horizontal="center" vertical="top" wrapText="1"/>
    </xf>
    <xf numFmtId="0" fontId="28" fillId="0" borderId="115" xfId="0" applyFont="1" applyBorder="1" applyAlignment="1">
      <alignment horizontal="center" vertical="top"/>
    </xf>
    <xf numFmtId="0" fontId="28" fillId="0" borderId="116" xfId="0" applyFont="1" applyBorder="1" applyAlignment="1">
      <alignment vertical="top" wrapText="1"/>
    </xf>
    <xf numFmtId="0" fontId="1" fillId="0" borderId="117" xfId="0" applyFont="1" applyBorder="1" applyAlignment="1">
      <alignment horizontal="center" vertical="top" wrapText="1"/>
    </xf>
    <xf numFmtId="0" fontId="28" fillId="0" borderId="118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13" xfId="0" applyFont="1" applyBorder="1" applyAlignment="1">
      <alignment vertical="top" wrapText="1"/>
    </xf>
    <xf numFmtId="1" fontId="1" fillId="0" borderId="71" xfId="0" applyNumberFormat="1" applyFont="1" applyBorder="1" applyAlignment="1">
      <alignment horizontal="center" vertical="top" wrapText="1"/>
    </xf>
    <xf numFmtId="1" fontId="1" fillId="0" borderId="79" xfId="0" applyNumberFormat="1" applyFont="1" applyBorder="1" applyAlignment="1">
      <alignment horizontal="center" vertical="top" wrapText="1"/>
    </xf>
    <xf numFmtId="0" fontId="18" fillId="0" borderId="88" xfId="0" applyFont="1" applyBorder="1" applyAlignment="1">
      <alignment horizontal="center" wrapText="1"/>
    </xf>
    <xf numFmtId="0" fontId="1" fillId="0" borderId="81" xfId="0" applyFont="1" applyBorder="1" applyAlignment="1">
      <alignment horizontal="center" vertical="top" wrapText="1"/>
    </xf>
    <xf numFmtId="0" fontId="1" fillId="0" borderId="79" xfId="0" applyFont="1" applyBorder="1" applyAlignment="1">
      <alignment horizontal="center" vertical="top" wrapText="1"/>
    </xf>
    <xf numFmtId="0" fontId="18" fillId="0" borderId="81" xfId="0" applyFont="1" applyBorder="1" applyAlignment="1">
      <alignment horizontal="center" wrapText="1"/>
    </xf>
    <xf numFmtId="0" fontId="18" fillId="0" borderId="79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" fillId="4" borderId="49" xfId="0" applyFont="1" applyFill="1" applyBorder="1" applyAlignment="1">
      <alignment horizontal="center" vertical="center" wrapText="1"/>
    </xf>
    <xf numFmtId="0" fontId="5" fillId="0" borderId="50" xfId="0" applyFont="1" applyBorder="1"/>
    <xf numFmtId="0" fontId="5" fillId="0" borderId="51" xfId="0" applyFont="1" applyBorder="1"/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4" fillId="0" borderId="6" xfId="0" applyFont="1" applyBorder="1" applyAlignment="1">
      <alignment horizontal="center" vertical="top" wrapText="1"/>
    </xf>
    <xf numFmtId="0" fontId="5" fillId="0" borderId="7" xfId="0" applyFont="1" applyBorder="1"/>
    <xf numFmtId="0" fontId="5" fillId="0" borderId="8" xfId="0" applyFont="1" applyBorder="1"/>
    <xf numFmtId="0" fontId="4" fillId="0" borderId="10" xfId="0" applyFont="1" applyBorder="1" applyAlignment="1">
      <alignment horizontal="center" vertical="top" wrapText="1"/>
    </xf>
    <xf numFmtId="0" fontId="5" fillId="0" borderId="11" xfId="0" applyFont="1" applyBorder="1"/>
    <xf numFmtId="0" fontId="4" fillId="0" borderId="26" xfId="0" applyFont="1" applyBorder="1" applyAlignment="1">
      <alignment horizontal="center" vertical="top" wrapText="1"/>
    </xf>
    <xf numFmtId="0" fontId="5" fillId="0" borderId="31" xfId="0" applyFont="1" applyBorder="1"/>
    <xf numFmtId="0" fontId="4" fillId="0" borderId="40" xfId="0" applyFont="1" applyBorder="1" applyAlignment="1">
      <alignment horizontal="center" vertical="top" wrapText="1"/>
    </xf>
    <xf numFmtId="0" fontId="5" fillId="0" borderId="43" xfId="0" applyFont="1" applyBorder="1"/>
    <xf numFmtId="0" fontId="5" fillId="0" borderId="52" xfId="0" applyFont="1" applyBorder="1"/>
    <xf numFmtId="0" fontId="6" fillId="0" borderId="26" xfId="0" applyFont="1" applyBorder="1" applyAlignment="1">
      <alignment horizontal="center" vertical="top" wrapText="1"/>
    </xf>
    <xf numFmtId="0" fontId="24" fillId="0" borderId="26" xfId="0" applyFont="1" applyBorder="1" applyAlignment="1">
      <alignment horizontal="center" vertical="center" wrapText="1"/>
    </xf>
    <xf numFmtId="0" fontId="5" fillId="0" borderId="73" xfId="0" applyFont="1" applyBorder="1"/>
    <xf numFmtId="0" fontId="21" fillId="9" borderId="26" xfId="0" applyFont="1" applyFill="1" applyBorder="1" applyAlignment="1">
      <alignment horizontal="center" vertical="center" wrapText="1"/>
    </xf>
    <xf numFmtId="0" fontId="21" fillId="12" borderId="74" xfId="0" applyFont="1" applyFill="1" applyBorder="1" applyAlignment="1">
      <alignment horizontal="center" vertical="center" wrapText="1"/>
    </xf>
    <xf numFmtId="0" fontId="6" fillId="7" borderId="76" xfId="0" applyFont="1" applyFill="1" applyBorder="1" applyAlignment="1">
      <alignment horizontal="center" wrapText="1"/>
    </xf>
    <xf numFmtId="0" fontId="5" fillId="0" borderId="81" xfId="0" applyFont="1" applyBorder="1"/>
    <xf numFmtId="0" fontId="6" fillId="7" borderId="20" xfId="0" applyFont="1" applyFill="1" applyBorder="1" applyAlignment="1">
      <alignment horizontal="center" wrapText="1"/>
    </xf>
    <xf numFmtId="0" fontId="5" fillId="0" borderId="55" xfId="0" applyFont="1" applyBorder="1"/>
    <xf numFmtId="0" fontId="21" fillId="7" borderId="72" xfId="0" applyFont="1" applyFill="1" applyBorder="1" applyAlignment="1">
      <alignment horizontal="center" vertical="center" wrapText="1"/>
    </xf>
    <xf numFmtId="0" fontId="5" fillId="0" borderId="80" xfId="0" applyFont="1" applyBorder="1"/>
    <xf numFmtId="0" fontId="22" fillId="8" borderId="74" xfId="0" applyFont="1" applyFill="1" applyBorder="1" applyAlignment="1">
      <alignment horizontal="center" vertical="center"/>
    </xf>
    <xf numFmtId="0" fontId="5" fillId="0" borderId="75" xfId="0" applyFont="1" applyBorder="1"/>
    <xf numFmtId="0" fontId="22" fillId="8" borderId="26" xfId="0" applyFont="1" applyFill="1" applyBorder="1" applyAlignment="1">
      <alignment horizontal="center" vertical="center" wrapText="1"/>
    </xf>
    <xf numFmtId="0" fontId="22" fillId="8" borderId="26" xfId="0" applyFont="1" applyFill="1" applyBorder="1" applyAlignment="1">
      <alignment horizontal="center" vertical="center"/>
    </xf>
    <xf numFmtId="0" fontId="22" fillId="8" borderId="77" xfId="0" applyFont="1" applyFill="1" applyBorder="1" applyAlignment="1">
      <alignment horizontal="center" vertical="center"/>
    </xf>
    <xf numFmtId="0" fontId="5" fillId="0" borderId="82" xfId="0" applyFont="1" applyBorder="1"/>
    <xf numFmtId="0" fontId="21" fillId="0" borderId="26" xfId="0" applyFont="1" applyBorder="1" applyAlignment="1">
      <alignment horizontal="center" vertical="center"/>
    </xf>
    <xf numFmtId="0" fontId="21" fillId="6" borderId="40" xfId="0" applyFont="1" applyFill="1" applyBorder="1" applyAlignment="1">
      <alignment horizontal="center" vertical="center" wrapText="1"/>
    </xf>
    <xf numFmtId="0" fontId="22" fillId="8" borderId="69" xfId="0" applyFont="1" applyFill="1" applyBorder="1" applyAlignment="1">
      <alignment horizontal="center" vertical="center"/>
    </xf>
    <xf numFmtId="0" fontId="5" fillId="0" borderId="70" xfId="0" applyFont="1" applyBorder="1"/>
    <xf numFmtId="0" fontId="5" fillId="0" borderId="71" xfId="0" applyFont="1" applyBorder="1"/>
    <xf numFmtId="0" fontId="21" fillId="11" borderId="26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left" vertical="top" wrapText="1"/>
    </xf>
    <xf numFmtId="0" fontId="22" fillId="9" borderId="26" xfId="0" applyFont="1" applyFill="1" applyBorder="1" applyAlignment="1">
      <alignment horizontal="center" vertical="center"/>
    </xf>
    <xf numFmtId="0" fontId="22" fillId="10" borderId="26" xfId="0" applyFont="1" applyFill="1" applyBorder="1" applyAlignment="1">
      <alignment horizontal="center" vertical="center"/>
    </xf>
    <xf numFmtId="0" fontId="5" fillId="0" borderId="59" xfId="0" applyFont="1" applyBorder="1"/>
    <xf numFmtId="0" fontId="21" fillId="0" borderId="6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53" xfId="0" applyFont="1" applyBorder="1"/>
    <xf numFmtId="0" fontId="4" fillId="0" borderId="0" xfId="0" applyFont="1" applyAlignment="1">
      <alignment horizontal="left" vertical="top"/>
    </xf>
    <xf numFmtId="0" fontId="0" fillId="0" borderId="0" xfId="0" applyFont="1" applyAlignment="1"/>
    <xf numFmtId="0" fontId="4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5" fillId="0" borderId="21" xfId="0" applyFont="1" applyBorder="1"/>
    <xf numFmtId="0" fontId="6" fillId="0" borderId="6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wrapText="1"/>
    </xf>
    <xf numFmtId="0" fontId="4" fillId="0" borderId="48" xfId="0" applyFont="1" applyBorder="1" applyAlignment="1">
      <alignment horizontal="center" vertical="top"/>
    </xf>
    <xf numFmtId="0" fontId="5" fillId="0" borderId="101" xfId="0" applyFont="1" applyBorder="1"/>
    <xf numFmtId="0" fontId="5" fillId="0" borderId="102" xfId="0" applyFont="1" applyBorder="1"/>
    <xf numFmtId="0" fontId="26" fillId="0" borderId="107" xfId="0" applyFont="1" applyBorder="1" applyAlignment="1">
      <alignment horizontal="center" wrapText="1"/>
    </xf>
    <xf numFmtId="0" fontId="5" fillId="0" borderId="113" xfId="0" applyFont="1" applyBorder="1"/>
    <xf numFmtId="0" fontId="1" fillId="0" borderId="107" xfId="0" applyFont="1" applyBorder="1"/>
    <xf numFmtId="0" fontId="6" fillId="0" borderId="2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106" xfId="0" applyFont="1" applyBorder="1" applyAlignment="1">
      <alignment horizontal="center" wrapText="1"/>
    </xf>
    <xf numFmtId="0" fontId="5" fillId="0" borderId="1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X1000"/>
  <sheetViews>
    <sheetView tabSelected="1" topLeftCell="K4" workbookViewId="0">
      <selection activeCell="Y11" sqref="Y11"/>
    </sheetView>
  </sheetViews>
  <sheetFormatPr defaultColWidth="14.453125" defaultRowHeight="15" customHeight="1"/>
  <cols>
    <col min="1" max="1" width="2.7265625" customWidth="1"/>
    <col min="2" max="2" width="8.08984375" customWidth="1"/>
    <col min="3" max="3" width="9.08984375" customWidth="1"/>
    <col min="4" max="4" width="14.453125" customWidth="1"/>
    <col min="5" max="5" width="15.7265625" customWidth="1"/>
    <col min="6" max="6" width="10.453125" customWidth="1"/>
    <col min="7" max="8" width="14.54296875" customWidth="1"/>
    <col min="9" max="9" width="17.81640625" customWidth="1"/>
    <col min="10" max="10" width="16.81640625" customWidth="1"/>
    <col min="11" max="12" width="13.453125" customWidth="1"/>
    <col min="13" max="13" width="15" customWidth="1"/>
    <col min="14" max="14" width="10.54296875" customWidth="1"/>
    <col min="15" max="16" width="17.453125" customWidth="1"/>
    <col min="17" max="17" width="10.453125" customWidth="1"/>
    <col min="18" max="19" width="8.7265625" customWidth="1"/>
    <col min="20" max="20" width="8.54296875" customWidth="1"/>
    <col min="21" max="22" width="9.08984375" customWidth="1"/>
    <col min="23" max="24" width="9" customWidth="1"/>
  </cols>
  <sheetData>
    <row r="1" spans="1:24" ht="14.5">
      <c r="A1" s="1"/>
      <c r="U1" s="1"/>
      <c r="V1" s="1"/>
      <c r="W1" s="1"/>
      <c r="X1" s="1"/>
    </row>
    <row r="2" spans="1:24" thickBot="1">
      <c r="A2" s="1"/>
      <c r="B2" s="2" t="s">
        <v>0</v>
      </c>
      <c r="U2" s="1"/>
      <c r="V2" s="1"/>
      <c r="W2" s="1"/>
      <c r="X2" s="1"/>
    </row>
    <row r="3" spans="1:24" ht="30.75" customHeight="1" thickBot="1">
      <c r="A3" s="1"/>
      <c r="C3" s="2" t="s">
        <v>1</v>
      </c>
      <c r="D3" s="2"/>
      <c r="E3" s="3"/>
      <c r="Q3" s="4"/>
      <c r="R3" s="396" t="s">
        <v>2</v>
      </c>
      <c r="S3" s="397"/>
      <c r="T3" s="398"/>
      <c r="U3" s="1"/>
      <c r="V3" s="1"/>
      <c r="W3" s="1"/>
      <c r="X3" s="1"/>
    </row>
    <row r="4" spans="1:24" ht="30" customHeight="1" thickBot="1">
      <c r="A4" s="1"/>
      <c r="B4" s="5" t="s">
        <v>3</v>
      </c>
      <c r="C4" s="399" t="s">
        <v>4</v>
      </c>
      <c r="D4" s="400"/>
      <c r="E4" s="401"/>
      <c r="F4" s="7" t="s">
        <v>5</v>
      </c>
      <c r="G4" s="402" t="s">
        <v>6</v>
      </c>
      <c r="H4" s="403"/>
      <c r="I4" s="8" t="s">
        <v>7</v>
      </c>
      <c r="J4" s="9" t="s">
        <v>8</v>
      </c>
      <c r="K4" s="10" t="s">
        <v>9</v>
      </c>
      <c r="L4" s="402" t="s">
        <v>10</v>
      </c>
      <c r="M4" s="403"/>
      <c r="N4" s="11" t="s">
        <v>11</v>
      </c>
      <c r="O4" s="12" t="s">
        <v>12</v>
      </c>
      <c r="P4" s="384" t="s">
        <v>132</v>
      </c>
      <c r="Q4" s="13" t="s">
        <v>13</v>
      </c>
      <c r="R4" s="12" t="s">
        <v>14</v>
      </c>
      <c r="S4" s="14" t="s">
        <v>15</v>
      </c>
      <c r="T4" s="13" t="s">
        <v>16</v>
      </c>
      <c r="U4" s="1"/>
      <c r="V4" s="1"/>
      <c r="W4" s="1"/>
      <c r="X4" s="1"/>
    </row>
    <row r="5" spans="1:24" ht="58.5" thickBot="1">
      <c r="A5" s="1"/>
      <c r="B5" s="5"/>
      <c r="C5" s="16" t="s">
        <v>17</v>
      </c>
      <c r="D5" s="17" t="s">
        <v>18</v>
      </c>
      <c r="E5" s="18" t="s">
        <v>19</v>
      </c>
      <c r="F5" s="19"/>
      <c r="G5" s="20" t="s">
        <v>20</v>
      </c>
      <c r="H5" s="20" t="s">
        <v>21</v>
      </c>
      <c r="I5" s="21"/>
      <c r="J5" s="22"/>
      <c r="K5" s="23"/>
      <c r="L5" s="20" t="s">
        <v>20</v>
      </c>
      <c r="M5" s="20" t="s">
        <v>21</v>
      </c>
      <c r="N5" s="24"/>
      <c r="O5" s="25"/>
      <c r="P5" s="24"/>
      <c r="Q5" s="26" t="s">
        <v>22</v>
      </c>
      <c r="R5" s="27" t="s">
        <v>23</v>
      </c>
      <c r="S5" s="28" t="s">
        <v>23</v>
      </c>
      <c r="T5" s="29" t="s">
        <v>24</v>
      </c>
      <c r="U5" s="1"/>
      <c r="V5" s="1"/>
      <c r="W5" s="1"/>
      <c r="X5" s="1"/>
    </row>
    <row r="6" spans="1:24" ht="15" customHeight="1">
      <c r="A6" s="1"/>
      <c r="B6" s="30">
        <v>45658</v>
      </c>
      <c r="C6" s="31">
        <v>388</v>
      </c>
      <c r="D6" s="31">
        <v>61750</v>
      </c>
      <c r="E6" s="31">
        <v>2430</v>
      </c>
      <c r="F6" s="32"/>
      <c r="G6" s="31">
        <v>24</v>
      </c>
      <c r="H6" s="31">
        <v>24</v>
      </c>
      <c r="I6" s="31">
        <v>8.6</v>
      </c>
      <c r="J6" s="31">
        <v>5</v>
      </c>
      <c r="K6" s="33">
        <f>'Electrcity Data'!M5</f>
        <v>10.388894223555889</v>
      </c>
      <c r="L6" s="31">
        <v>68</v>
      </c>
      <c r="M6" s="31">
        <v>76.5</v>
      </c>
      <c r="N6" s="34">
        <f t="shared" ref="N6:N11" si="0">I6*E6+J6*D6</f>
        <v>329648</v>
      </c>
      <c r="O6" s="34">
        <f t="shared" ref="O6:O17" si="1">N6+L6*G6+M6*H6+K6*F6</f>
        <v>333116</v>
      </c>
      <c r="P6" s="342">
        <v>290</v>
      </c>
      <c r="Q6" s="35">
        <v>290</v>
      </c>
      <c r="R6" s="36">
        <f t="shared" ref="R6:R17" si="2">F6*K6/Q6</f>
        <v>0</v>
      </c>
      <c r="S6" s="36">
        <f t="shared" ref="S6:S11" si="3">(L6*G6+M6*H6+J6*D6)/Q6</f>
        <v>1076.6137931034482</v>
      </c>
      <c r="T6" s="36">
        <f t="shared" ref="T6:T17" si="4">O6/Q6</f>
        <v>1148.6758620689654</v>
      </c>
      <c r="U6" s="1"/>
      <c r="V6" s="1"/>
      <c r="W6" s="1"/>
      <c r="X6" s="1"/>
    </row>
    <row r="7" spans="1:24" ht="15" customHeight="1">
      <c r="A7" s="1"/>
      <c r="B7" s="30">
        <v>45689</v>
      </c>
      <c r="C7" s="31">
        <v>388</v>
      </c>
      <c r="D7" s="31">
        <v>58600</v>
      </c>
      <c r="E7" s="31">
        <v>0</v>
      </c>
      <c r="F7" s="32"/>
      <c r="G7" s="31">
        <v>24</v>
      </c>
      <c r="H7" s="31">
        <v>24</v>
      </c>
      <c r="I7" s="31">
        <v>8.6</v>
      </c>
      <c r="J7" s="31">
        <v>5</v>
      </c>
      <c r="K7" s="33">
        <f>'Electrcity Data'!M6</f>
        <v>9.1966195202423133</v>
      </c>
      <c r="L7" s="31">
        <v>68</v>
      </c>
      <c r="M7" s="31">
        <v>76.5</v>
      </c>
      <c r="N7" s="34">
        <f t="shared" si="0"/>
        <v>293000</v>
      </c>
      <c r="O7" s="34">
        <f t="shared" si="1"/>
        <v>296468</v>
      </c>
      <c r="P7" s="342">
        <v>267.8</v>
      </c>
      <c r="Q7" s="35">
        <v>267.8</v>
      </c>
      <c r="R7" s="36">
        <f t="shared" si="2"/>
        <v>0</v>
      </c>
      <c r="S7" s="36">
        <f t="shared" si="3"/>
        <v>1107.0500373412995</v>
      </c>
      <c r="T7" s="36">
        <f t="shared" si="4"/>
        <v>1107.0500373412995</v>
      </c>
      <c r="U7" s="1"/>
      <c r="V7" s="1"/>
      <c r="W7" s="1"/>
      <c r="X7" s="1"/>
    </row>
    <row r="8" spans="1:24" ht="15" customHeight="1">
      <c r="A8" s="1"/>
      <c r="B8" s="30">
        <v>45717</v>
      </c>
      <c r="C8" s="31">
        <v>362</v>
      </c>
      <c r="D8" s="31">
        <v>51800</v>
      </c>
      <c r="E8" s="31">
        <v>0</v>
      </c>
      <c r="F8" s="32"/>
      <c r="G8" s="31">
        <v>25</v>
      </c>
      <c r="H8" s="31">
        <v>25</v>
      </c>
      <c r="I8" s="31">
        <v>8.6</v>
      </c>
      <c r="J8" s="31">
        <v>5</v>
      </c>
      <c r="K8" s="33">
        <f>'Electrcity Data'!M7</f>
        <v>10.015294261460102</v>
      </c>
      <c r="L8" s="31">
        <v>68</v>
      </c>
      <c r="M8" s="31">
        <v>76.5</v>
      </c>
      <c r="N8" s="34">
        <f t="shared" si="0"/>
        <v>259000</v>
      </c>
      <c r="O8" s="34">
        <f t="shared" si="1"/>
        <v>262612.5</v>
      </c>
      <c r="P8" s="342">
        <v>217.56</v>
      </c>
      <c r="Q8" s="35">
        <v>217.56</v>
      </c>
      <c r="R8" s="36">
        <f t="shared" si="2"/>
        <v>0</v>
      </c>
      <c r="S8" s="36">
        <f t="shared" si="3"/>
        <v>1207.0808052950911</v>
      </c>
      <c r="T8" s="36">
        <f t="shared" si="4"/>
        <v>1207.0808052950911</v>
      </c>
      <c r="U8" s="1"/>
      <c r="V8" s="1"/>
      <c r="W8" s="1"/>
      <c r="X8" s="1"/>
    </row>
    <row r="9" spans="1:24" ht="15" customHeight="1">
      <c r="A9" s="1"/>
      <c r="B9" s="30">
        <v>45748</v>
      </c>
      <c r="C9" s="31">
        <v>400</v>
      </c>
      <c r="D9" s="31">
        <v>77500</v>
      </c>
      <c r="E9" s="31">
        <v>0</v>
      </c>
      <c r="F9" s="32"/>
      <c r="G9" s="31">
        <v>25</v>
      </c>
      <c r="H9" s="31">
        <v>25</v>
      </c>
      <c r="I9" s="31">
        <v>8.6</v>
      </c>
      <c r="J9" s="31">
        <v>5</v>
      </c>
      <c r="K9" s="33">
        <f>'Electrcity Data'!M8</f>
        <v>10.736692013511703</v>
      </c>
      <c r="L9" s="31">
        <v>68</v>
      </c>
      <c r="M9" s="31">
        <v>76.5</v>
      </c>
      <c r="N9" s="34">
        <f t="shared" si="0"/>
        <v>387500</v>
      </c>
      <c r="O9" s="34">
        <f t="shared" si="1"/>
        <v>391112.5</v>
      </c>
      <c r="P9" s="342">
        <v>325</v>
      </c>
      <c r="Q9" s="35">
        <v>325</v>
      </c>
      <c r="R9" s="36">
        <f t="shared" si="2"/>
        <v>0</v>
      </c>
      <c r="S9" s="36">
        <f t="shared" si="3"/>
        <v>1203.4230769230769</v>
      </c>
      <c r="T9" s="36">
        <f t="shared" si="4"/>
        <v>1203.4230769230769</v>
      </c>
      <c r="U9" s="1"/>
      <c r="V9" s="1"/>
      <c r="W9" s="1"/>
      <c r="X9" s="1"/>
    </row>
    <row r="10" spans="1:24" ht="15" customHeight="1">
      <c r="A10" s="1"/>
      <c r="B10" s="30">
        <v>45778</v>
      </c>
      <c r="C10" s="38">
        <v>434</v>
      </c>
      <c r="D10" s="40">
        <v>65290</v>
      </c>
      <c r="E10" s="31">
        <v>0</v>
      </c>
      <c r="F10" s="32"/>
      <c r="G10" s="38">
        <v>26</v>
      </c>
      <c r="H10" s="38">
        <v>26</v>
      </c>
      <c r="I10" s="38">
        <v>8.6</v>
      </c>
      <c r="J10" s="38">
        <v>5</v>
      </c>
      <c r="K10" s="33">
        <f>'Electrcity Data'!M9</f>
        <v>8.4844150895465518</v>
      </c>
      <c r="L10" s="31">
        <v>68</v>
      </c>
      <c r="M10" s="31">
        <v>76.5</v>
      </c>
      <c r="N10" s="34">
        <f t="shared" si="0"/>
        <v>326450</v>
      </c>
      <c r="O10" s="34">
        <f t="shared" si="1"/>
        <v>330207</v>
      </c>
      <c r="P10" s="34">
        <v>29.38</v>
      </c>
      <c r="Q10" s="34">
        <v>29.38</v>
      </c>
      <c r="R10" s="36">
        <f t="shared" si="2"/>
        <v>0</v>
      </c>
      <c r="S10" s="36">
        <f t="shared" si="3"/>
        <v>11239.176310415249</v>
      </c>
      <c r="T10" s="36">
        <f t="shared" si="4"/>
        <v>11239.176310415249</v>
      </c>
      <c r="U10" s="1"/>
      <c r="V10" s="1"/>
      <c r="W10" s="1"/>
      <c r="X10" s="1"/>
    </row>
    <row r="11" spans="1:24" ht="15" customHeight="1">
      <c r="A11" s="1"/>
      <c r="B11" s="30">
        <v>45809</v>
      </c>
      <c r="C11" s="41">
        <v>419</v>
      </c>
      <c r="D11" s="42">
        <v>57900</v>
      </c>
      <c r="E11" s="31">
        <v>0</v>
      </c>
      <c r="F11" s="32"/>
      <c r="G11" s="41">
        <v>25</v>
      </c>
      <c r="H11" s="43">
        <v>25</v>
      </c>
      <c r="I11" s="38">
        <v>8.6</v>
      </c>
      <c r="J11" s="38">
        <v>5</v>
      </c>
      <c r="K11" s="33">
        <f>'Electrcity Data'!M10</f>
        <v>55.891181763647275</v>
      </c>
      <c r="L11" s="31">
        <v>68</v>
      </c>
      <c r="M11" s="31">
        <v>76.5</v>
      </c>
      <c r="N11" s="44">
        <f t="shared" si="0"/>
        <v>289500</v>
      </c>
      <c r="O11" s="45">
        <f t="shared" si="1"/>
        <v>293112.5</v>
      </c>
      <c r="P11" s="46">
        <v>33</v>
      </c>
      <c r="Q11" s="46">
        <v>33</v>
      </c>
      <c r="R11" s="47">
        <f t="shared" si="2"/>
        <v>0</v>
      </c>
      <c r="S11" s="48">
        <f t="shared" si="3"/>
        <v>8882.19696969697</v>
      </c>
      <c r="T11" s="49">
        <f t="shared" si="4"/>
        <v>8882.19696969697</v>
      </c>
      <c r="U11" s="1"/>
      <c r="V11" s="1"/>
      <c r="W11" s="1"/>
      <c r="X11" s="1"/>
    </row>
    <row r="12" spans="1:24" ht="15" customHeight="1">
      <c r="A12" s="1"/>
      <c r="B12" s="30">
        <v>45839</v>
      </c>
      <c r="C12" s="50"/>
      <c r="D12" s="51"/>
      <c r="E12" s="31"/>
      <c r="F12" s="52"/>
      <c r="G12" s="50"/>
      <c r="H12" s="53"/>
      <c r="I12" s="38"/>
      <c r="J12" s="38"/>
      <c r="K12" s="33"/>
      <c r="L12" s="54"/>
      <c r="M12" s="55"/>
      <c r="N12" s="34"/>
      <c r="O12" s="45"/>
      <c r="P12" s="56"/>
      <c r="Q12" s="56"/>
      <c r="R12" s="47"/>
      <c r="S12" s="48"/>
      <c r="T12" s="49"/>
      <c r="U12" s="1"/>
      <c r="V12" s="1"/>
      <c r="W12" s="1"/>
      <c r="X12" s="1"/>
    </row>
    <row r="13" spans="1:24" ht="15" customHeight="1">
      <c r="A13" s="1"/>
      <c r="B13" s="30">
        <v>45870</v>
      </c>
      <c r="C13" s="50"/>
      <c r="D13" s="51"/>
      <c r="E13" s="57"/>
      <c r="F13" s="52"/>
      <c r="G13" s="50"/>
      <c r="H13" s="53"/>
      <c r="I13" s="38"/>
      <c r="J13" s="38"/>
      <c r="K13" s="58"/>
      <c r="L13" s="54"/>
      <c r="M13" s="55"/>
      <c r="N13" s="34"/>
      <c r="O13" s="45"/>
      <c r="P13" s="59"/>
      <c r="Q13" s="59"/>
      <c r="R13" s="47"/>
      <c r="S13" s="48"/>
      <c r="T13" s="49"/>
      <c r="U13" s="1"/>
      <c r="V13" s="1"/>
      <c r="W13" s="1"/>
      <c r="X13" s="1"/>
    </row>
    <row r="14" spans="1:24" ht="15" customHeight="1">
      <c r="A14" s="1"/>
      <c r="B14" s="30">
        <v>45901</v>
      </c>
      <c r="C14" s="60"/>
      <c r="D14" s="61"/>
      <c r="E14" s="57"/>
      <c r="F14" s="52"/>
      <c r="G14" s="62"/>
      <c r="H14" s="39"/>
      <c r="I14" s="63"/>
      <c r="J14" s="62"/>
      <c r="K14" s="64"/>
      <c r="L14" s="62"/>
      <c r="M14" s="65"/>
      <c r="N14" s="34"/>
      <c r="O14" s="45"/>
      <c r="P14" s="59"/>
      <c r="Q14" s="59"/>
      <c r="R14" s="47"/>
      <c r="S14" s="36"/>
      <c r="T14" s="66"/>
      <c r="U14" s="1"/>
      <c r="V14" s="1"/>
      <c r="W14" s="1"/>
      <c r="X14" s="1"/>
    </row>
    <row r="15" spans="1:24" ht="15" customHeight="1">
      <c r="A15" s="1"/>
      <c r="B15" s="30">
        <v>45931</v>
      </c>
      <c r="C15" s="60"/>
      <c r="D15" s="60"/>
      <c r="E15" s="60"/>
      <c r="F15" s="52"/>
      <c r="G15" s="62"/>
      <c r="H15" s="39"/>
      <c r="I15" s="63"/>
      <c r="J15" s="62"/>
      <c r="K15" s="67"/>
      <c r="L15" s="62"/>
      <c r="M15" s="65"/>
      <c r="N15" s="34"/>
      <c r="O15" s="45"/>
      <c r="P15" s="59"/>
      <c r="Q15" s="59"/>
      <c r="R15" s="47"/>
      <c r="S15" s="36"/>
      <c r="T15" s="66"/>
      <c r="U15" s="1"/>
      <c r="V15" s="1"/>
      <c r="W15" s="1"/>
      <c r="X15" s="1"/>
    </row>
    <row r="16" spans="1:24" ht="15" customHeight="1">
      <c r="A16" s="1"/>
      <c r="B16" s="30">
        <v>45962</v>
      </c>
      <c r="C16" s="41"/>
      <c r="D16" s="41"/>
      <c r="E16" s="41"/>
      <c r="F16" s="52"/>
      <c r="G16" s="68"/>
      <c r="H16" s="38"/>
      <c r="I16" s="69"/>
      <c r="J16" s="68"/>
      <c r="K16" s="64"/>
      <c r="L16" s="68"/>
      <c r="M16" s="70"/>
      <c r="N16" s="34">
        <f t="shared" ref="N16:N17" si="5">I16*D16+J16*E16</f>
        <v>0</v>
      </c>
      <c r="O16" s="45">
        <f t="shared" si="1"/>
        <v>0</v>
      </c>
      <c r="P16" s="385"/>
      <c r="Q16" s="58"/>
      <c r="R16" s="47" t="e">
        <f t="shared" si="2"/>
        <v>#DIV/0!</v>
      </c>
      <c r="S16" s="36" t="e">
        <f t="shared" ref="S16:S17" si="6">T16-R16</f>
        <v>#DIV/0!</v>
      </c>
      <c r="T16" s="66" t="e">
        <f t="shared" si="4"/>
        <v>#DIV/0!</v>
      </c>
      <c r="U16" s="1"/>
      <c r="V16" s="1"/>
      <c r="W16" s="1"/>
      <c r="X16" s="1"/>
    </row>
    <row r="17" spans="1:24" ht="15" customHeight="1" thickBot="1">
      <c r="A17" s="1"/>
      <c r="B17" s="30">
        <v>45992</v>
      </c>
      <c r="C17" s="71"/>
      <c r="D17" s="72"/>
      <c r="E17" s="72"/>
      <c r="F17" s="52"/>
      <c r="G17" s="73"/>
      <c r="H17" s="74"/>
      <c r="I17" s="75"/>
      <c r="J17" s="76"/>
      <c r="K17" s="77"/>
      <c r="L17" s="68"/>
      <c r="M17" s="70"/>
      <c r="N17" s="34">
        <f t="shared" si="5"/>
        <v>0</v>
      </c>
      <c r="O17" s="45">
        <f t="shared" si="1"/>
        <v>0</v>
      </c>
      <c r="P17" s="386"/>
      <c r="Q17" s="72"/>
      <c r="R17" s="47" t="e">
        <f t="shared" si="2"/>
        <v>#DIV/0!</v>
      </c>
      <c r="S17" s="78" t="e">
        <f t="shared" si="6"/>
        <v>#DIV/0!</v>
      </c>
      <c r="T17" s="79" t="e">
        <f t="shared" si="4"/>
        <v>#DIV/0!</v>
      </c>
      <c r="U17" s="1"/>
      <c r="V17" s="1"/>
      <c r="W17" s="1"/>
      <c r="X17" s="1"/>
    </row>
    <row r="18" spans="1:24" ht="15" customHeight="1" thickBot="1">
      <c r="A18" s="1"/>
      <c r="B18" s="6" t="s">
        <v>25</v>
      </c>
      <c r="C18" s="6">
        <f t="shared" ref="C18:H18" si="7">+SUM(C6:C17)</f>
        <v>2391</v>
      </c>
      <c r="D18" s="6">
        <f t="shared" si="7"/>
        <v>372840</v>
      </c>
      <c r="E18" s="6">
        <f t="shared" si="7"/>
        <v>2430</v>
      </c>
      <c r="F18" s="6">
        <f t="shared" si="7"/>
        <v>0</v>
      </c>
      <c r="G18" s="6">
        <f t="shared" si="7"/>
        <v>149</v>
      </c>
      <c r="H18" s="6">
        <f t="shared" si="7"/>
        <v>149</v>
      </c>
      <c r="I18" s="6"/>
      <c r="J18" s="6">
        <f t="shared" ref="J18:T18" si="8">+SUM(J6:J17)</f>
        <v>30</v>
      </c>
      <c r="K18" s="80">
        <f t="shared" si="8"/>
        <v>104.71309687196384</v>
      </c>
      <c r="L18" s="6">
        <f t="shared" si="8"/>
        <v>408</v>
      </c>
      <c r="M18" s="6">
        <f t="shared" si="8"/>
        <v>459</v>
      </c>
      <c r="N18" s="81">
        <f t="shared" si="8"/>
        <v>1885098</v>
      </c>
      <c r="O18" s="81">
        <f t="shared" si="8"/>
        <v>1906628.5</v>
      </c>
      <c r="P18" s="81"/>
      <c r="Q18" s="6">
        <f t="shared" si="8"/>
        <v>1162.74</v>
      </c>
      <c r="R18" s="6" t="e">
        <f t="shared" si="8"/>
        <v>#DIV/0!</v>
      </c>
      <c r="S18" s="6" t="e">
        <f t="shared" si="8"/>
        <v>#DIV/0!</v>
      </c>
      <c r="T18" s="6" t="e">
        <f t="shared" si="8"/>
        <v>#DIV/0!</v>
      </c>
      <c r="U18" s="6"/>
      <c r="V18" s="6"/>
      <c r="W18" s="1"/>
      <c r="X18" s="1"/>
    </row>
    <row r="19" spans="1:24" ht="14.25" customHeight="1">
      <c r="A19" s="1"/>
      <c r="B19" s="1"/>
      <c r="C19" s="393"/>
      <c r="D19" s="394"/>
      <c r="E19" s="39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5">
    <mergeCell ref="C19:E19"/>
    <mergeCell ref="R3:T3"/>
    <mergeCell ref="C4:E4"/>
    <mergeCell ref="G4:H4"/>
    <mergeCell ref="L4:M4"/>
  </mergeCells>
  <pageMargins left="0.69930555555555496" right="0.69930555555555496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C1000"/>
  <sheetViews>
    <sheetView workbookViewId="0">
      <pane xSplit="2" ySplit="5" topLeftCell="J6" activePane="bottomRight" state="frozen"/>
      <selection pane="topRight" activeCell="C1" sqref="C1"/>
      <selection pane="bottomLeft" activeCell="A6" sqref="A6"/>
      <selection pane="bottomRight" activeCell="C12" sqref="C12:R15"/>
    </sheetView>
  </sheetViews>
  <sheetFormatPr defaultColWidth="14.453125" defaultRowHeight="15" customHeight="1"/>
  <cols>
    <col min="1" max="1" width="6.26953125" customWidth="1"/>
    <col min="2" max="2" width="11.54296875" customWidth="1"/>
    <col min="3" max="7" width="17.453125" customWidth="1"/>
    <col min="8" max="8" width="15.81640625" customWidth="1"/>
    <col min="9" max="9" width="11.54296875" customWidth="1"/>
    <col min="10" max="11" width="17.453125" customWidth="1"/>
    <col min="12" max="12" width="13" customWidth="1"/>
    <col min="13" max="13" width="15.453125" customWidth="1"/>
    <col min="14" max="14" width="18" customWidth="1"/>
    <col min="15" max="15" width="19" customWidth="1"/>
    <col min="16" max="16" width="13" customWidth="1"/>
    <col min="17" max="29" width="9" customWidth="1"/>
  </cols>
  <sheetData>
    <row r="1" spans="1:29" ht="15" customHeight="1">
      <c r="A1" s="82"/>
      <c r="B1" s="83" t="s">
        <v>26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29" ht="14.5">
      <c r="A2" s="82"/>
      <c r="B2" s="83" t="s">
        <v>27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 spans="1:29" ht="14.5">
      <c r="A3" s="82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1:29" ht="30" customHeight="1">
      <c r="A4" s="82"/>
      <c r="B4" s="85" t="s">
        <v>3</v>
      </c>
      <c r="C4" s="406" t="s">
        <v>28</v>
      </c>
      <c r="D4" s="407"/>
      <c r="E4" s="408"/>
      <c r="F4" s="406" t="s">
        <v>29</v>
      </c>
      <c r="G4" s="407"/>
      <c r="H4" s="408"/>
      <c r="I4" s="406" t="s">
        <v>30</v>
      </c>
      <c r="J4" s="407"/>
      <c r="K4" s="408"/>
      <c r="L4" s="85" t="s">
        <v>31</v>
      </c>
      <c r="M4" s="85" t="s">
        <v>32</v>
      </c>
      <c r="N4" s="409" t="s">
        <v>33</v>
      </c>
      <c r="O4" s="404" t="s">
        <v>34</v>
      </c>
      <c r="P4" s="404" t="s">
        <v>35</v>
      </c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</row>
    <row r="5" spans="1:29" ht="30" customHeight="1">
      <c r="A5" s="82"/>
      <c r="B5" s="85"/>
      <c r="C5" s="86" t="s">
        <v>17</v>
      </c>
      <c r="D5" s="86" t="s">
        <v>36</v>
      </c>
      <c r="E5" s="86" t="s">
        <v>37</v>
      </c>
      <c r="F5" s="86" t="s">
        <v>17</v>
      </c>
      <c r="G5" s="86" t="s">
        <v>36</v>
      </c>
      <c r="H5" s="86" t="s">
        <v>37</v>
      </c>
      <c r="I5" s="86" t="s">
        <v>17</v>
      </c>
      <c r="J5" s="86" t="s">
        <v>36</v>
      </c>
      <c r="K5" s="86" t="s">
        <v>37</v>
      </c>
      <c r="L5" s="85" t="s">
        <v>37</v>
      </c>
      <c r="M5" s="85"/>
      <c r="N5" s="405"/>
      <c r="O5" s="405"/>
      <c r="P5" s="405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 spans="1:29" ht="14.5">
      <c r="A6" s="82"/>
      <c r="B6" s="87">
        <v>45658</v>
      </c>
      <c r="C6" s="88">
        <v>5.7</v>
      </c>
      <c r="D6" s="88">
        <v>60</v>
      </c>
      <c r="E6" s="88">
        <v>152</v>
      </c>
      <c r="F6" s="89">
        <v>0</v>
      </c>
      <c r="G6" s="89">
        <v>0</v>
      </c>
      <c r="H6" s="89">
        <v>0</v>
      </c>
      <c r="I6" s="88">
        <v>17.100000000000001</v>
      </c>
      <c r="J6" s="88">
        <v>760</v>
      </c>
      <c r="K6" s="90">
        <v>2980</v>
      </c>
      <c r="L6" s="91">
        <f t="shared" ref="L6:L9" si="0">K6+H6</f>
        <v>2980</v>
      </c>
      <c r="M6" s="92">
        <f t="shared" ref="M6:M11" si="1">G6+J6+D6</f>
        <v>820</v>
      </c>
      <c r="N6" s="93">
        <v>94.04</v>
      </c>
      <c r="O6" s="94">
        <f t="shared" ref="O6:O17" si="2">N6*M6</f>
        <v>77112.800000000003</v>
      </c>
      <c r="P6" s="95">
        <f t="shared" ref="P6:P17" si="3">L6/M6</f>
        <v>3.6341463414634148</v>
      </c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ht="14.5">
      <c r="A7" s="82"/>
      <c r="B7" s="87">
        <v>45689</v>
      </c>
      <c r="C7" s="96"/>
      <c r="D7" s="97"/>
      <c r="E7" s="96"/>
      <c r="F7" s="97">
        <v>0</v>
      </c>
      <c r="G7" s="97">
        <v>0</v>
      </c>
      <c r="H7" s="97">
        <v>0</v>
      </c>
      <c r="I7" s="97">
        <v>20.100000000000001</v>
      </c>
      <c r="J7" s="97">
        <v>795</v>
      </c>
      <c r="K7" s="98">
        <v>3220</v>
      </c>
      <c r="L7" s="91">
        <f t="shared" si="0"/>
        <v>3220</v>
      </c>
      <c r="M7" s="92">
        <f t="shared" si="1"/>
        <v>795</v>
      </c>
      <c r="N7" s="99">
        <v>94.04</v>
      </c>
      <c r="O7" s="100">
        <f t="shared" si="2"/>
        <v>74761.8</v>
      </c>
      <c r="P7" s="95">
        <f t="shared" si="3"/>
        <v>4.050314465408805</v>
      </c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 spans="1:29" ht="14.5">
      <c r="A8" s="82"/>
      <c r="B8" s="87">
        <v>45717</v>
      </c>
      <c r="C8" s="97"/>
      <c r="D8" s="97"/>
      <c r="E8" s="97"/>
      <c r="F8" s="97">
        <v>6.4</v>
      </c>
      <c r="G8" s="97">
        <v>254</v>
      </c>
      <c r="H8" s="97">
        <v>896</v>
      </c>
      <c r="I8" s="97">
        <v>15.6</v>
      </c>
      <c r="J8" s="97">
        <v>547</v>
      </c>
      <c r="K8" s="98">
        <v>2095</v>
      </c>
      <c r="L8" s="91">
        <f t="shared" si="0"/>
        <v>2991</v>
      </c>
      <c r="M8" s="92">
        <f t="shared" si="1"/>
        <v>801</v>
      </c>
      <c r="N8" s="99">
        <v>94.04</v>
      </c>
      <c r="O8" s="100">
        <f t="shared" si="2"/>
        <v>75326.040000000008</v>
      </c>
      <c r="P8" s="95">
        <f t="shared" si="3"/>
        <v>3.7340823970037453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spans="1:29" ht="14.5">
      <c r="A9" s="82"/>
      <c r="B9" s="87">
        <v>45748</v>
      </c>
      <c r="C9" s="96"/>
      <c r="D9" s="96"/>
      <c r="E9" s="96"/>
      <c r="F9" s="97">
        <v>0</v>
      </c>
      <c r="G9" s="101">
        <v>86</v>
      </c>
      <c r="H9" s="97">
        <v>0</v>
      </c>
      <c r="I9" s="97">
        <v>24.3</v>
      </c>
      <c r="J9" s="97">
        <v>525</v>
      </c>
      <c r="K9" s="98">
        <v>1638</v>
      </c>
      <c r="L9" s="91">
        <f t="shared" si="0"/>
        <v>1638</v>
      </c>
      <c r="M9" s="92">
        <f t="shared" si="1"/>
        <v>611</v>
      </c>
      <c r="N9" s="99">
        <v>94.04</v>
      </c>
      <c r="O9" s="100">
        <f t="shared" si="2"/>
        <v>57458.44</v>
      </c>
      <c r="P9" s="95">
        <f t="shared" si="3"/>
        <v>2.6808510638297873</v>
      </c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ht="14.5">
      <c r="A10" s="82"/>
      <c r="B10" s="87">
        <v>45778</v>
      </c>
      <c r="C10" s="102"/>
      <c r="D10" s="102"/>
      <c r="E10" s="102"/>
      <c r="F10" s="103">
        <v>0</v>
      </c>
      <c r="G10" s="104">
        <v>0</v>
      </c>
      <c r="H10" s="105">
        <v>0</v>
      </c>
      <c r="I10" s="38">
        <v>0</v>
      </c>
      <c r="J10" s="104">
        <v>550</v>
      </c>
      <c r="K10" s="106">
        <v>21.3</v>
      </c>
      <c r="L10" s="91">
        <v>550</v>
      </c>
      <c r="M10" s="92">
        <f t="shared" si="1"/>
        <v>550</v>
      </c>
      <c r="N10" s="99">
        <v>94.04</v>
      </c>
      <c r="O10" s="100">
        <f t="shared" si="2"/>
        <v>51722</v>
      </c>
      <c r="P10" s="95">
        <f t="shared" si="3"/>
        <v>1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</row>
    <row r="11" spans="1:29" ht="14.5">
      <c r="A11" s="82"/>
      <c r="B11" s="87">
        <v>45809</v>
      </c>
      <c r="C11" s="102"/>
      <c r="D11" s="102"/>
      <c r="E11" s="102"/>
      <c r="F11" s="103">
        <v>0</v>
      </c>
      <c r="G11" s="104">
        <v>165</v>
      </c>
      <c r="H11" s="37">
        <v>0</v>
      </c>
      <c r="I11" s="38">
        <v>0</v>
      </c>
      <c r="J11" s="104">
        <v>830</v>
      </c>
      <c r="K11" s="106">
        <v>20.7</v>
      </c>
      <c r="L11" s="91">
        <v>830</v>
      </c>
      <c r="M11" s="92">
        <f t="shared" si="1"/>
        <v>995</v>
      </c>
      <c r="N11" s="99">
        <v>94.04</v>
      </c>
      <c r="O11" s="100">
        <f t="shared" si="2"/>
        <v>93569.8</v>
      </c>
      <c r="P11" s="95">
        <f t="shared" si="3"/>
        <v>0.83417085427135673</v>
      </c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ht="14.5">
      <c r="A12" s="82"/>
      <c r="B12" s="87">
        <v>45839</v>
      </c>
      <c r="C12" s="107"/>
      <c r="D12" s="107"/>
      <c r="E12" s="107"/>
      <c r="F12" s="108"/>
      <c r="G12" s="109"/>
      <c r="H12" s="110"/>
      <c r="I12" s="108"/>
      <c r="J12" s="109"/>
      <c r="K12" s="110"/>
      <c r="L12" s="91"/>
      <c r="M12" s="92"/>
      <c r="N12" s="99"/>
      <c r="O12" s="100"/>
      <c r="P12" s="95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</row>
    <row r="13" spans="1:29" ht="14.5">
      <c r="A13" s="82"/>
      <c r="B13" s="87">
        <v>45870</v>
      </c>
      <c r="C13" s="111"/>
      <c r="D13" s="111"/>
      <c r="E13" s="111"/>
      <c r="F13" s="108"/>
      <c r="G13" s="109"/>
      <c r="H13" s="112"/>
      <c r="I13" s="108"/>
      <c r="J13" s="109"/>
      <c r="K13" s="112"/>
      <c r="L13" s="91"/>
      <c r="M13" s="92"/>
      <c r="N13" s="99"/>
      <c r="O13" s="100"/>
      <c r="P13" s="95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</row>
    <row r="14" spans="1:29" ht="14.5">
      <c r="A14" s="82"/>
      <c r="B14" s="87">
        <v>45901</v>
      </c>
      <c r="C14" s="113"/>
      <c r="D14" s="114"/>
      <c r="E14" s="114"/>
      <c r="F14" s="113"/>
      <c r="G14" s="113"/>
      <c r="H14" s="115"/>
      <c r="I14" s="60"/>
      <c r="J14" s="116"/>
      <c r="K14" s="117"/>
      <c r="L14" s="91"/>
      <c r="M14" s="92"/>
      <c r="N14" s="118"/>
      <c r="O14" s="100"/>
      <c r="P14" s="95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</row>
    <row r="15" spans="1:29" ht="14.5">
      <c r="A15" s="82"/>
      <c r="B15" s="87">
        <v>45931</v>
      </c>
      <c r="C15" s="113"/>
      <c r="D15" s="113"/>
      <c r="E15" s="113"/>
      <c r="F15" s="119"/>
      <c r="G15" s="119"/>
      <c r="H15" s="120"/>
      <c r="I15" s="62"/>
      <c r="J15" s="121"/>
      <c r="K15" s="104"/>
      <c r="L15" s="91"/>
      <c r="M15" s="92"/>
      <c r="N15" s="118"/>
      <c r="O15" s="100"/>
      <c r="P15" s="95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spans="1:29" ht="14.5">
      <c r="A16" s="82"/>
      <c r="B16" s="87">
        <v>45962</v>
      </c>
      <c r="C16" s="122"/>
      <c r="D16" s="122"/>
      <c r="E16" s="122"/>
      <c r="F16" s="123"/>
      <c r="G16" s="124"/>
      <c r="H16" s="125"/>
      <c r="I16" s="123"/>
      <c r="J16" s="124"/>
      <c r="K16" s="125"/>
      <c r="L16" s="91"/>
      <c r="M16" s="126">
        <f t="shared" ref="M16:M17" si="4">J16+G16</f>
        <v>0</v>
      </c>
      <c r="N16" s="127"/>
      <c r="O16" s="100">
        <f t="shared" si="2"/>
        <v>0</v>
      </c>
      <c r="P16" s="95" t="e">
        <f t="shared" si="3"/>
        <v>#DIV/0!</v>
      </c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 spans="1:29" ht="14.5">
      <c r="A17" s="82"/>
      <c r="B17" s="87">
        <v>45992</v>
      </c>
      <c r="C17" s="128"/>
      <c r="D17" s="128"/>
      <c r="E17" s="128"/>
      <c r="F17" s="129"/>
      <c r="G17" s="130"/>
      <c r="H17" s="131"/>
      <c r="I17" s="129"/>
      <c r="J17" s="130"/>
      <c r="K17" s="131"/>
      <c r="L17" s="132">
        <f>K17+H17</f>
        <v>0</v>
      </c>
      <c r="M17" s="126">
        <f t="shared" si="4"/>
        <v>0</v>
      </c>
      <c r="N17" s="127"/>
      <c r="O17" s="100">
        <f t="shared" si="2"/>
        <v>0</v>
      </c>
      <c r="P17" s="95" t="e">
        <f t="shared" si="3"/>
        <v>#DIV/0!</v>
      </c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</row>
    <row r="18" spans="1:29" ht="14.5">
      <c r="A18" s="82"/>
      <c r="B18" s="133" t="s">
        <v>25</v>
      </c>
      <c r="C18" s="6"/>
      <c r="D18" s="6"/>
      <c r="E18" s="6"/>
      <c r="F18" s="6"/>
      <c r="G18" s="6"/>
      <c r="H18" s="134">
        <f t="shared" ref="H18:J18" si="5">+SUM(H6:H17)</f>
        <v>896</v>
      </c>
      <c r="I18" s="133">
        <f t="shared" si="5"/>
        <v>77.100000000000009</v>
      </c>
      <c r="J18" s="6">
        <f t="shared" si="5"/>
        <v>4007</v>
      </c>
      <c r="K18" s="85"/>
      <c r="L18" s="135">
        <f t="shared" ref="L18:P18" si="6">+SUM(L6:L17)</f>
        <v>12209</v>
      </c>
      <c r="M18" s="136">
        <f t="shared" si="6"/>
        <v>4572</v>
      </c>
      <c r="N18" s="137">
        <f t="shared" si="6"/>
        <v>564.24</v>
      </c>
      <c r="O18" s="138">
        <f t="shared" si="6"/>
        <v>429950.88</v>
      </c>
      <c r="P18" s="139" t="e">
        <f t="shared" si="6"/>
        <v>#DIV/0!</v>
      </c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</row>
    <row r="19" spans="1:29" ht="14.5">
      <c r="A19" s="82"/>
      <c r="B19" s="84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</row>
    <row r="20" spans="1:29" ht="14.5">
      <c r="A20" s="82"/>
      <c r="B20" s="84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</row>
    <row r="21" spans="1:29" ht="15.75" customHeight="1">
      <c r="A21" s="82"/>
      <c r="B21" s="140" t="s">
        <v>38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</row>
    <row r="22" spans="1:29" ht="15.75" customHeight="1">
      <c r="A22" s="82"/>
      <c r="B22" s="141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 spans="1:29" ht="15.75" customHeight="1">
      <c r="A23" s="82"/>
      <c r="B23" s="140" t="s">
        <v>39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spans="1:29" ht="15.75" customHeight="1">
      <c r="A24" s="82"/>
      <c r="B24" s="141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</row>
    <row r="25" spans="1:29" ht="15.75" customHeight="1">
      <c r="A25" s="82"/>
      <c r="B25" s="14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spans="1:29" ht="15.75" customHeight="1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</row>
    <row r="27" spans="1:29" ht="15.75" customHeight="1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 spans="1:29" ht="15.75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 spans="1:29" ht="15.75" customHeight="1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 spans="1:29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 spans="1:29" ht="15.75" customHeight="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</row>
    <row r="32" spans="1:29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</row>
    <row r="33" spans="1:29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</row>
    <row r="34" spans="1:29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 spans="1:29" ht="15.75" customHeight="1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</row>
    <row r="36" spans="1:29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</row>
    <row r="37" spans="1:29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</row>
    <row r="38" spans="1:29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</row>
    <row r="39" spans="1:2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</row>
    <row r="40" spans="1:29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</row>
    <row r="41" spans="1:29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spans="1:29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</row>
    <row r="43" spans="1:29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 spans="1:29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</row>
    <row r="45" spans="1:29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</row>
    <row r="46" spans="1:29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</row>
    <row r="47" spans="1:29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</row>
    <row r="48" spans="1:29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</row>
    <row r="49" spans="1:2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 spans="1:29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</row>
    <row r="51" spans="1:29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</row>
    <row r="52" spans="1:29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</row>
    <row r="53" spans="1:29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</row>
    <row r="54" spans="1:29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</row>
    <row r="55" spans="1:29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</row>
    <row r="56" spans="1:29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</row>
    <row r="57" spans="1:29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</row>
    <row r="58" spans="1:29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</row>
    <row r="59" spans="1:2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</row>
    <row r="60" spans="1:29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</row>
    <row r="61" spans="1:29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</row>
    <row r="62" spans="1:29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</row>
    <row r="63" spans="1:29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</row>
    <row r="64" spans="1:29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</row>
    <row r="65" spans="1:29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</row>
    <row r="66" spans="1:29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</row>
    <row r="67" spans="1:29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</row>
    <row r="68" spans="1:29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</row>
    <row r="69" spans="1:2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</row>
    <row r="70" spans="1:29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</row>
    <row r="71" spans="1:29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</row>
    <row r="72" spans="1:29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</row>
    <row r="73" spans="1:29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</row>
    <row r="74" spans="1:29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</row>
    <row r="75" spans="1:29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</row>
    <row r="76" spans="1:29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</row>
    <row r="77" spans="1:29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</row>
    <row r="78" spans="1:29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 spans="1:2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</row>
    <row r="80" spans="1:29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</row>
    <row r="81" spans="1:29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</row>
    <row r="82" spans="1:29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</row>
    <row r="83" spans="1:29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</row>
    <row r="84" spans="1:29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</row>
    <row r="85" spans="1:29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</row>
    <row r="86" spans="1:29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</row>
    <row r="87" spans="1:29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</row>
    <row r="88" spans="1:29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</row>
    <row r="89" spans="1:2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</row>
    <row r="90" spans="1:29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</row>
    <row r="91" spans="1:29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</row>
    <row r="92" spans="1:29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</row>
    <row r="93" spans="1:29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</row>
    <row r="94" spans="1:29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</row>
    <row r="95" spans="1:29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</row>
    <row r="96" spans="1:29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</row>
    <row r="97" spans="1:29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</row>
    <row r="98" spans="1:29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</row>
    <row r="99" spans="1:2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</row>
    <row r="100" spans="1:29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</row>
    <row r="101" spans="1:29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</row>
    <row r="102" spans="1:29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</row>
    <row r="103" spans="1:29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</row>
    <row r="104" spans="1:29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</row>
    <row r="105" spans="1:29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</row>
    <row r="106" spans="1:29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</row>
    <row r="107" spans="1:29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</row>
    <row r="108" spans="1:29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</row>
    <row r="109" spans="1:2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</row>
    <row r="110" spans="1:29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</row>
    <row r="111" spans="1:29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</row>
    <row r="112" spans="1:29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</row>
    <row r="113" spans="1:29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</row>
    <row r="114" spans="1:29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</row>
    <row r="115" spans="1:29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</row>
    <row r="116" spans="1:29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</row>
    <row r="117" spans="1:29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</row>
    <row r="118" spans="1:29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</row>
    <row r="119" spans="1:2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</row>
    <row r="120" spans="1:29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</row>
    <row r="121" spans="1:29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</row>
    <row r="122" spans="1:29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</row>
    <row r="123" spans="1:29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</row>
    <row r="124" spans="1:29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</row>
    <row r="125" spans="1:29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</row>
    <row r="126" spans="1:29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</row>
    <row r="127" spans="1:29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</row>
    <row r="128" spans="1:29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</row>
    <row r="129" spans="1: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</row>
    <row r="130" spans="1:29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</row>
    <row r="131" spans="1:29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</row>
    <row r="132" spans="1:29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</row>
    <row r="133" spans="1:29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</row>
    <row r="134" spans="1:29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</row>
    <row r="135" spans="1:29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</row>
    <row r="136" spans="1:29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</row>
    <row r="137" spans="1:29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</row>
    <row r="138" spans="1:29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</row>
    <row r="139" spans="1:2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</row>
    <row r="140" spans="1:29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</row>
    <row r="141" spans="1:29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</row>
    <row r="142" spans="1:29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</row>
    <row r="143" spans="1:29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</row>
    <row r="144" spans="1:29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</row>
    <row r="145" spans="1:29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</row>
    <row r="146" spans="1:29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</row>
    <row r="147" spans="1:29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</row>
    <row r="148" spans="1:29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</row>
    <row r="149" spans="1:2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</row>
    <row r="150" spans="1:29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</row>
    <row r="151" spans="1:29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</row>
    <row r="152" spans="1:29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</row>
    <row r="153" spans="1:29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</row>
    <row r="154" spans="1:29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</row>
    <row r="155" spans="1:29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</row>
    <row r="156" spans="1:29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</row>
    <row r="157" spans="1:29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</row>
    <row r="158" spans="1:29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</row>
    <row r="159" spans="1:2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</row>
    <row r="160" spans="1:29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</row>
    <row r="161" spans="1:29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</row>
    <row r="162" spans="1:29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</row>
    <row r="163" spans="1:29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</row>
    <row r="164" spans="1:29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</row>
    <row r="165" spans="1:29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</row>
    <row r="166" spans="1:29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</row>
    <row r="167" spans="1:29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</row>
    <row r="168" spans="1:29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</row>
    <row r="169" spans="1:2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</row>
    <row r="170" spans="1:29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</row>
    <row r="171" spans="1:29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</row>
    <row r="172" spans="1:29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</row>
    <row r="173" spans="1:29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</row>
    <row r="174" spans="1:29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</row>
    <row r="175" spans="1:29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</row>
    <row r="176" spans="1:29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</row>
    <row r="177" spans="1:29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</row>
    <row r="178" spans="1:29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</row>
    <row r="179" spans="1:2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</row>
    <row r="180" spans="1:29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</row>
    <row r="181" spans="1:29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</row>
    <row r="182" spans="1:29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</row>
    <row r="183" spans="1:29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</row>
    <row r="184" spans="1:29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</row>
    <row r="185" spans="1:29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</row>
    <row r="186" spans="1:29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</row>
    <row r="187" spans="1:29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</row>
    <row r="188" spans="1:29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</row>
    <row r="189" spans="1:2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</row>
    <row r="190" spans="1:29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</row>
    <row r="191" spans="1:29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</row>
    <row r="192" spans="1:29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</row>
    <row r="193" spans="1:29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</row>
    <row r="194" spans="1:29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</row>
    <row r="195" spans="1:29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</row>
    <row r="196" spans="1:29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</row>
    <row r="197" spans="1:29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</row>
    <row r="198" spans="1:29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</row>
    <row r="199" spans="1:2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</row>
    <row r="200" spans="1:29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</row>
    <row r="201" spans="1:29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</row>
    <row r="202" spans="1:29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</row>
    <row r="203" spans="1:29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</row>
    <row r="204" spans="1:29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</row>
    <row r="205" spans="1:29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</row>
    <row r="206" spans="1:29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</row>
    <row r="207" spans="1:29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</row>
    <row r="208" spans="1:29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</row>
    <row r="209" spans="1:2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</row>
    <row r="210" spans="1:29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</row>
    <row r="211" spans="1:29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</row>
    <row r="212" spans="1:29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</row>
    <row r="213" spans="1:29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</row>
    <row r="214" spans="1:29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</row>
    <row r="215" spans="1:29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</row>
    <row r="216" spans="1:29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</row>
    <row r="217" spans="1:29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</row>
    <row r="218" spans="1:29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</row>
    <row r="219" spans="1:2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</row>
    <row r="220" spans="1:29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</row>
    <row r="221" spans="1:29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</row>
    <row r="222" spans="1:29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</row>
    <row r="223" spans="1:29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</row>
    <row r="224" spans="1:29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</row>
    <row r="225" spans="1:29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</row>
    <row r="226" spans="1:29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</row>
    <row r="227" spans="1:29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</row>
    <row r="228" spans="1:29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</row>
    <row r="229" spans="1: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</row>
    <row r="230" spans="1:29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</row>
    <row r="231" spans="1:29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</row>
    <row r="232" spans="1:29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</row>
    <row r="233" spans="1:29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</row>
    <row r="234" spans="1:29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</row>
    <row r="235" spans="1:29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</row>
    <row r="236" spans="1:29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</row>
    <row r="237" spans="1:29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</row>
    <row r="238" spans="1:29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</row>
    <row r="239" spans="1:2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</row>
    <row r="240" spans="1:29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</row>
    <row r="241" spans="1:29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</row>
    <row r="242" spans="1:29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</row>
    <row r="243" spans="1:29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</row>
    <row r="244" spans="1:29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</row>
    <row r="245" spans="1:29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</row>
    <row r="246" spans="1:29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</row>
    <row r="247" spans="1:29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</row>
    <row r="248" spans="1:29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</row>
    <row r="249" spans="1:2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</row>
    <row r="250" spans="1:29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</row>
    <row r="251" spans="1:29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</row>
    <row r="252" spans="1:29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</row>
    <row r="253" spans="1:29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</row>
    <row r="254" spans="1:29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</row>
    <row r="255" spans="1:29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</row>
    <row r="256" spans="1:29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</row>
    <row r="257" spans="1:29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</row>
    <row r="258" spans="1:29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</row>
    <row r="259" spans="1:2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</row>
    <row r="260" spans="1:29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</row>
    <row r="261" spans="1:29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</row>
    <row r="262" spans="1:29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</row>
    <row r="263" spans="1:29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</row>
    <row r="264" spans="1:29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</row>
    <row r="265" spans="1:29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</row>
    <row r="266" spans="1:29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</row>
    <row r="267" spans="1:29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</row>
    <row r="268" spans="1:29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</row>
    <row r="269" spans="1:2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</row>
    <row r="270" spans="1:29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</row>
    <row r="271" spans="1:29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</row>
    <row r="272" spans="1:29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</row>
    <row r="273" spans="1:29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</row>
    <row r="274" spans="1:29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</row>
    <row r="275" spans="1:29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</row>
    <row r="276" spans="1:29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</row>
    <row r="277" spans="1:29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</row>
    <row r="278" spans="1:29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</row>
    <row r="279" spans="1:2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spans="1:29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spans="1:29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spans="1:29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spans="1:29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spans="1:29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spans="1:29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spans="1:29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spans="1:29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spans="1:29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spans="1:2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spans="1:29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spans="1:29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spans="1:29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spans="1:29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spans="1:29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spans="1:29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spans="1:29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spans="1:29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spans="1:29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spans="1:2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spans="1:29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spans="1:29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spans="1:29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spans="1:29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spans="1:29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spans="1:29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spans="1:29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spans="1:29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spans="1:29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spans="1:2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spans="1:29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spans="1:29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spans="1:29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spans="1:29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spans="1:29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spans="1:29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spans="1:29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spans="1:29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spans="1:29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spans="1:2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spans="1:29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spans="1:29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spans="1:29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spans="1:29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spans="1:29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spans="1:29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spans="1:29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spans="1:29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spans="1:29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spans="1: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spans="1:29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spans="1:29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spans="1:29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spans="1:29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spans="1:29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spans="1:29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spans="1:29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spans="1:29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spans="1:29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spans="1:2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spans="1:29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spans="1:29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spans="1:29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spans="1:29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spans="1:29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spans="1:29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spans="1:29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spans="1:29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spans="1:29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spans="1:2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spans="1:29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spans="1:29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spans="1:29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spans="1:29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spans="1:29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spans="1:29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spans="1:29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spans="1:29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spans="1:29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spans="1:2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spans="1:29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spans="1:29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spans="1:29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spans="1:29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spans="1:29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spans="1:29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spans="1:29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spans="1:29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spans="1:29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spans="1:2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spans="1:29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spans="1:29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spans="1:29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spans="1:29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spans="1:29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spans="1:29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spans="1:29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spans="1:29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spans="1:29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spans="1:2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spans="1:29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spans="1:29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spans="1:29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spans="1:29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spans="1:29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spans="1:29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spans="1:29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spans="1:29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spans="1:29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spans="1:2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spans="1:29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spans="1:29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spans="1:29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spans="1:29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spans="1:29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spans="1:29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spans="1:29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spans="1:29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spans="1:29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spans="1:2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spans="1:29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spans="1:29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spans="1:29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spans="1:29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spans="1:29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spans="1:29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spans="1:29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spans="1:29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spans="1:29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spans="1:2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spans="1:29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spans="1:29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spans="1:29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spans="1:29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spans="1:29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spans="1:29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spans="1:29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spans="1:29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spans="1:29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spans="1:2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spans="1:29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spans="1:29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spans="1:29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spans="1:29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spans="1:29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spans="1:29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spans="1:29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spans="1:29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spans="1:29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spans="1: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spans="1:29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spans="1:29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spans="1:29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spans="1:29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spans="1:29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spans="1:29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spans="1:29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spans="1:29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spans="1:29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spans="1:2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spans="1:29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spans="1:29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spans="1:29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spans="1:29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spans="1:29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spans="1:29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spans="1:29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spans="1:29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spans="1:29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spans="1:2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spans="1:29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spans="1:29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spans="1:29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spans="1:29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spans="1:29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spans="1:29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spans="1:29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spans="1:29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spans="1:29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spans="1:2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spans="1:29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spans="1:29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spans="1:29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spans="1:29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spans="1:29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spans="1:29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spans="1:29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spans="1:29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spans="1:29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spans="1:2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spans="1:29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spans="1:29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spans="1:29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spans="1:29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spans="1:29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spans="1:29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spans="1:29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spans="1:29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spans="1:29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spans="1:2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spans="1:29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spans="1:29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spans="1:29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spans="1:29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spans="1:29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spans="1:29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spans="1:29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spans="1:29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spans="1:29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spans="1:2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spans="1:29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spans="1:29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spans="1:29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spans="1:29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spans="1:29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spans="1:29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spans="1:29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spans="1:29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spans="1:29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spans="1:2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spans="1:29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spans="1:29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spans="1:29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spans="1:29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spans="1:29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spans="1:29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spans="1:29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spans="1:29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spans="1:29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spans="1:2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spans="1:29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spans="1:29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spans="1:29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spans="1:29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spans="1:29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spans="1:29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spans="1:29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spans="1:29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spans="1:29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spans="1:2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spans="1:29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spans="1:29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spans="1:29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spans="1:29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spans="1:29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spans="1:29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spans="1:29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spans="1:29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spans="1:29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spans="1: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spans="1:29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spans="1:29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spans="1:29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spans="1:29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spans="1:29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spans="1:29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spans="1:29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spans="1:29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spans="1:29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spans="1:2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spans="1:29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spans="1:29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spans="1:29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spans="1:29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spans="1:29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spans="1:29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spans="1:29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spans="1:29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spans="1:29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spans="1:2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spans="1:29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spans="1:29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spans="1:29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spans="1:29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spans="1:29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spans="1:29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spans="1:29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spans="1:29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spans="1:29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spans="1:2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spans="1:29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spans="1:29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spans="1:29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spans="1:29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spans="1:29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spans="1:29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spans="1:29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spans="1:29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spans="1:29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spans="1:2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spans="1:29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spans="1:29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spans="1:29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spans="1:29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spans="1:29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spans="1:29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spans="1:29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spans="1:29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spans="1:29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spans="1:2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spans="1:29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spans="1:29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spans="1:29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spans="1:29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spans="1:29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spans="1:29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spans="1:29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spans="1:29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spans="1:29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spans="1:2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spans="1:29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spans="1:29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spans="1:29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spans="1:29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spans="1:29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spans="1:29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spans="1:29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spans="1:29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spans="1:29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spans="1:2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spans="1:29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spans="1:29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spans="1:29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spans="1:29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spans="1:29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spans="1:29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spans="1:29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spans="1:29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spans="1:29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spans="1:2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spans="1:29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spans="1:29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spans="1:29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spans="1:29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spans="1:29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spans="1:29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spans="1:29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spans="1:29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spans="1:29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spans="1:2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spans="1:29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spans="1:29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spans="1:29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spans="1:29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spans="1:29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spans="1:29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spans="1:29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spans="1:29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spans="1:29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spans="1: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spans="1:29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spans="1:29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spans="1:29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spans="1:29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spans="1:29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spans="1:29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spans="1:29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spans="1:29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spans="1:29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spans="1:2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spans="1:29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spans="1:29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spans="1:29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spans="1:29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spans="1:29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spans="1:29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spans="1:29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spans="1:29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spans="1:29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spans="1:2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spans="1:29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spans="1:29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spans="1:29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spans="1:29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spans="1:29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spans="1:29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spans="1:29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spans="1:29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spans="1:29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spans="1:2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spans="1:29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spans="1:29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spans="1:29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spans="1:29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spans="1:29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spans="1:29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spans="1:29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spans="1:29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spans="1:29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spans="1:2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spans="1:29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spans="1:29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spans="1:29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spans="1:29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spans="1:29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spans="1:29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spans="1:29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spans="1:29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spans="1:29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spans="1:2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spans="1:29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spans="1:29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spans="1:29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spans="1:29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spans="1:29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spans="1:29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spans="1:29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spans="1:29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spans="1:29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spans="1:2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spans="1:29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spans="1:29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spans="1:29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spans="1:29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spans="1:29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spans="1:29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spans="1:29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spans="1:29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spans="1:29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spans="1:2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spans="1:29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spans="1:29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spans="1:29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spans="1:29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spans="1:29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spans="1:29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spans="1:29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spans="1:29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spans="1:29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spans="1:2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spans="1:29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spans="1:29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spans="1:29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spans="1:29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spans="1:29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spans="1:29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spans="1:29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spans="1:29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spans="1:29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spans="1:2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spans="1:29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spans="1:29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spans="1:29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spans="1:29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spans="1:29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spans="1:29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spans="1:29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spans="1:29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spans="1:29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spans="1: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spans="1:29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spans="1:29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spans="1:29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spans="1:29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spans="1:29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spans="1:29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spans="1:29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spans="1:29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spans="1:29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spans="1:2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spans="1:29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spans="1:29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spans="1:29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spans="1:29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spans="1:29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spans="1:29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spans="1:29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spans="1:29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spans="1:29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spans="1:2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spans="1:29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spans="1:29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spans="1:29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spans="1:29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spans="1:29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spans="1:29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spans="1:29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spans="1:29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spans="1:29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spans="1:2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spans="1:29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spans="1:29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spans="1:29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spans="1:29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spans="1:29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spans="1:29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spans="1:29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spans="1:29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spans="1:29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spans="1:2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spans="1:29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spans="1:29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spans="1:29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spans="1:29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spans="1:29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spans="1:29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spans="1:29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spans="1:29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spans="1:29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spans="1:2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spans="1:29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spans="1:29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spans="1:29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spans="1:29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spans="1:29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spans="1:29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spans="1:29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spans="1:29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spans="1:29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spans="1:2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spans="1:29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spans="1:29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spans="1:29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spans="1:29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spans="1:29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spans="1:29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spans="1:29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spans="1:29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spans="1:29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spans="1:2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spans="1:29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spans="1:29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spans="1:29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spans="1:29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spans="1:29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spans="1:29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spans="1:29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spans="1:29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spans="1:29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spans="1:2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spans="1:29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spans="1:29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spans="1:29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spans="1:29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spans="1:29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spans="1:29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spans="1:29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spans="1:29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spans="1:29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spans="1:2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spans="1:29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spans="1:29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spans="1:29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spans="1:29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spans="1:29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spans="1:29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spans="1:29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spans="1:29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spans="1:29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spans="1: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spans="1:29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spans="1:29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spans="1:29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spans="1:29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spans="1:29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spans="1:29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spans="1:29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spans="1:29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spans="1:29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spans="1:2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spans="1:29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spans="1:29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spans="1:29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spans="1:29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spans="1:29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spans="1:29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spans="1:29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spans="1:29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spans="1:29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spans="1:2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spans="1:29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spans="1:29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spans="1:29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spans="1:29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spans="1:29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spans="1:29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spans="1:29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spans="1:29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spans="1:29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spans="1:2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spans="1:29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spans="1:29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spans="1:29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spans="1:29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spans="1:29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spans="1:29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spans="1:29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spans="1:29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spans="1:29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spans="1:2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spans="1:29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spans="1:29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spans="1:29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spans="1:29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spans="1:29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spans="1:29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spans="1:29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spans="1:29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spans="1:29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spans="1:2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spans="1:29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spans="1:29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spans="1:29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spans="1:29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spans="1:29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spans="1:29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spans="1:29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spans="1:29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spans="1:29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spans="1:2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spans="1:29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spans="1:29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spans="1:29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spans="1:29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spans="1:29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spans="1:29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spans="1:29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spans="1:29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spans="1:29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spans="1:2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spans="1:29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spans="1:29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spans="1:29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spans="1:29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spans="1:29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spans="1:29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spans="1:29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spans="1:29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spans="1:29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spans="1:2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spans="1:29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spans="1:29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spans="1:29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spans="1:29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spans="1:29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spans="1:29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spans="1:29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spans="1:29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spans="1:29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spans="1:2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spans="1:29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spans="1:29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spans="1:29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spans="1:29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spans="1:29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spans="1:29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spans="1:29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spans="1:29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spans="1:29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spans="1: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spans="1:29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spans="1:29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spans="1:29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spans="1:29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spans="1:29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spans="1:29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spans="1:29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spans="1:29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spans="1:29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spans="1:2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spans="1:29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spans="1:29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spans="1:29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spans="1:29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spans="1:29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spans="1:29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spans="1:29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spans="1:29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spans="1:29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spans="1:2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spans="1:29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spans="1:29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spans="1:29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spans="1:29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spans="1:29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spans="1:29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spans="1:29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spans="1:29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spans="1:29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spans="1:2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spans="1:29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spans="1:29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spans="1:29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spans="1:29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spans="1:29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spans="1:29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 spans="1:29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 spans="1:29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</row>
    <row r="968" spans="1:29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</row>
    <row r="969" spans="1:2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</row>
    <row r="970" spans="1:29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</row>
    <row r="971" spans="1:29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</row>
    <row r="972" spans="1:29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</row>
    <row r="973" spans="1:29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</row>
    <row r="974" spans="1:29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</row>
    <row r="975" spans="1:29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</row>
    <row r="976" spans="1:29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</row>
    <row r="977" spans="1:29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</row>
    <row r="978" spans="1:29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</row>
    <row r="979" spans="1:2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</row>
    <row r="980" spans="1:29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</row>
    <row r="981" spans="1:29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</row>
    <row r="982" spans="1:29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</row>
    <row r="983" spans="1:29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</row>
    <row r="984" spans="1:29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</row>
    <row r="985" spans="1:29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</row>
    <row r="986" spans="1:29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</row>
    <row r="987" spans="1:29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</row>
    <row r="988" spans="1:29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</row>
    <row r="989" spans="1:2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</row>
    <row r="990" spans="1:29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</row>
    <row r="991" spans="1:29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</row>
    <row r="992" spans="1:29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</row>
    <row r="993" spans="1:29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</row>
    <row r="994" spans="1:29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</row>
    <row r="995" spans="1:29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</row>
    <row r="996" spans="1:29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</row>
    <row r="997" spans="1:29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</row>
    <row r="998" spans="1:29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</row>
    <row r="999" spans="1:2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</row>
    <row r="1000" spans="1:29" ht="15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</row>
  </sheetData>
  <mergeCells count="6">
    <mergeCell ref="P4:P5"/>
    <mergeCell ref="C4:E4"/>
    <mergeCell ref="F4:H4"/>
    <mergeCell ref="I4:K4"/>
    <mergeCell ref="N4:N5"/>
    <mergeCell ref="O4:O5"/>
  </mergeCells>
  <pageMargins left="0.69930555555555496" right="0.69930555555555496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A1000"/>
  <sheetViews>
    <sheetView workbookViewId="0">
      <pane xSplit="2" topLeftCell="J1" activePane="topRight" state="frozen"/>
      <selection pane="topRight" activeCell="R14" sqref="R14"/>
    </sheetView>
  </sheetViews>
  <sheetFormatPr defaultColWidth="14.453125" defaultRowHeight="15" customHeight="1"/>
  <cols>
    <col min="1" max="1" width="5.81640625" customWidth="1"/>
    <col min="2" max="2" width="10.453125" customWidth="1"/>
    <col min="3" max="3" width="8.08984375" customWidth="1"/>
    <col min="4" max="4" width="15" customWidth="1"/>
    <col min="5" max="5" width="15" style="381" customWidth="1"/>
    <col min="6" max="10" width="15" customWidth="1"/>
    <col min="11" max="11" width="15.08984375" customWidth="1"/>
    <col min="12" max="12" width="15.81640625" customWidth="1"/>
    <col min="13" max="13" width="11.7265625" customWidth="1"/>
    <col min="14" max="14" width="11.26953125" customWidth="1"/>
    <col min="15" max="27" width="9" customWidth="1"/>
  </cols>
  <sheetData>
    <row r="1" spans="1:27" ht="14.5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5">
      <c r="A2" s="1"/>
      <c r="B2" s="2" t="s">
        <v>40</v>
      </c>
      <c r="D2" s="142"/>
      <c r="E2" s="14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5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43.5">
      <c r="A4" s="1"/>
      <c r="B4" s="143" t="s">
        <v>3</v>
      </c>
      <c r="C4" s="144" t="s">
        <v>41</v>
      </c>
      <c r="D4" s="145" t="s">
        <v>42</v>
      </c>
      <c r="E4" s="145" t="s">
        <v>133</v>
      </c>
      <c r="F4" s="5" t="s">
        <v>43</v>
      </c>
      <c r="G4" s="5" t="s">
        <v>44</v>
      </c>
      <c r="H4" s="146" t="s">
        <v>45</v>
      </c>
      <c r="I4" s="147" t="s">
        <v>46</v>
      </c>
      <c r="J4" s="148" t="s">
        <v>47</v>
      </c>
      <c r="K4" s="143" t="s">
        <v>48</v>
      </c>
      <c r="L4" s="149" t="s">
        <v>49</v>
      </c>
      <c r="M4" s="148" t="s">
        <v>50</v>
      </c>
      <c r="N4" s="150" t="s">
        <v>51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thickBot="1">
      <c r="A5" s="1"/>
      <c r="B5" s="30">
        <v>45658</v>
      </c>
      <c r="C5" s="151" t="s">
        <v>52</v>
      </c>
      <c r="D5" s="152">
        <v>54562</v>
      </c>
      <c r="E5" s="387">
        <v>10000</v>
      </c>
      <c r="F5" s="153">
        <v>3132</v>
      </c>
      <c r="G5" s="153">
        <f>F5+D6+E5</f>
        <v>66650</v>
      </c>
      <c r="H5" s="154">
        <v>56509</v>
      </c>
      <c r="I5" s="155">
        <v>1025</v>
      </c>
      <c r="J5" s="155">
        <v>160</v>
      </c>
      <c r="K5" s="152">
        <v>615307</v>
      </c>
      <c r="L5" s="156">
        <f>DGs!O6</f>
        <v>77112.800000000003</v>
      </c>
      <c r="M5" s="157">
        <f t="shared" ref="M5:M10" si="0">(L5+K5)/G5</f>
        <v>10.388894223555889</v>
      </c>
      <c r="N5" s="158">
        <f t="shared" ref="N5:N17" si="1">F5/G5</f>
        <v>4.6991747936984248E-2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thickBot="1">
      <c r="A6" s="1"/>
      <c r="B6" s="30">
        <v>45689</v>
      </c>
      <c r="C6" s="151" t="s">
        <v>52</v>
      </c>
      <c r="D6" s="152">
        <v>53518</v>
      </c>
      <c r="E6" s="387">
        <v>10000</v>
      </c>
      <c r="F6" s="153">
        <v>3220</v>
      </c>
      <c r="G6" s="153">
        <f t="shared" ref="G6:G10" si="2">F6+D7+E6</f>
        <v>73954</v>
      </c>
      <c r="H6" s="154">
        <v>55734</v>
      </c>
      <c r="I6" s="155">
        <v>844</v>
      </c>
      <c r="J6" s="155">
        <v>160</v>
      </c>
      <c r="K6" s="152">
        <v>605365</v>
      </c>
      <c r="L6" s="156">
        <f>DGs!O7</f>
        <v>74761.8</v>
      </c>
      <c r="M6" s="157">
        <f t="shared" si="0"/>
        <v>9.1966195202423133</v>
      </c>
      <c r="N6" s="158">
        <f t="shared" si="1"/>
        <v>4.3540579279011275E-2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thickBot="1">
      <c r="A7" s="1"/>
      <c r="B7" s="30">
        <v>45717</v>
      </c>
      <c r="C7" s="151" t="s">
        <v>52</v>
      </c>
      <c r="D7" s="152">
        <v>60734</v>
      </c>
      <c r="E7" s="387">
        <v>10000</v>
      </c>
      <c r="F7" s="153">
        <v>2991</v>
      </c>
      <c r="G7" s="159">
        <f t="shared" si="2"/>
        <v>73625</v>
      </c>
      <c r="H7" s="154">
        <f t="shared" ref="H7:H10" si="3">G7-I7-J7</f>
        <v>73465</v>
      </c>
      <c r="I7" s="155">
        <v>0</v>
      </c>
      <c r="J7" s="155">
        <v>160</v>
      </c>
      <c r="K7" s="152">
        <v>662050</v>
      </c>
      <c r="L7" s="44">
        <f>DGs!O8</f>
        <v>75326.040000000008</v>
      </c>
      <c r="M7" s="157">
        <f t="shared" si="0"/>
        <v>10.015294261460102</v>
      </c>
      <c r="N7" s="160">
        <f t="shared" si="1"/>
        <v>4.062478777589134E-2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thickBot="1">
      <c r="A8" s="1"/>
      <c r="B8" s="30">
        <v>45748</v>
      </c>
      <c r="C8" s="151" t="s">
        <v>52</v>
      </c>
      <c r="D8" s="152">
        <v>60634</v>
      </c>
      <c r="E8" s="199">
        <v>10000</v>
      </c>
      <c r="F8" s="155">
        <v>1638</v>
      </c>
      <c r="G8" s="159">
        <f t="shared" si="2"/>
        <v>67201</v>
      </c>
      <c r="H8" s="154">
        <f t="shared" si="3"/>
        <v>65803</v>
      </c>
      <c r="I8" s="155">
        <v>1238</v>
      </c>
      <c r="J8" s="155">
        <v>160</v>
      </c>
      <c r="K8" s="152">
        <v>664058</v>
      </c>
      <c r="L8" s="44">
        <f>DGs!O9</f>
        <v>57458.44</v>
      </c>
      <c r="M8" s="157">
        <f t="shared" si="0"/>
        <v>10.736692013511703</v>
      </c>
      <c r="N8" s="160">
        <f t="shared" si="1"/>
        <v>2.4374637282183302E-2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thickBot="1">
      <c r="A9" s="1"/>
      <c r="B9" s="30">
        <v>45778</v>
      </c>
      <c r="C9" s="151" t="s">
        <v>52</v>
      </c>
      <c r="D9" s="41">
        <v>55563</v>
      </c>
      <c r="E9" s="390">
        <v>10000</v>
      </c>
      <c r="F9" s="153">
        <v>1964</v>
      </c>
      <c r="G9" s="159">
        <f t="shared" si="2"/>
        <v>78730</v>
      </c>
      <c r="H9" s="154">
        <f t="shared" si="3"/>
        <v>77201</v>
      </c>
      <c r="I9" s="38">
        <v>1369</v>
      </c>
      <c r="J9" s="70">
        <v>160</v>
      </c>
      <c r="K9" s="161">
        <v>616256</v>
      </c>
      <c r="L9" s="44">
        <f>DGs!O10</f>
        <v>51722</v>
      </c>
      <c r="M9" s="157">
        <f t="shared" si="0"/>
        <v>8.4844150895465518</v>
      </c>
      <c r="N9" s="160">
        <f t="shared" si="1"/>
        <v>2.4946018036326685E-2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thickBot="1">
      <c r="A10" s="1"/>
      <c r="B10" s="30">
        <v>45809</v>
      </c>
      <c r="C10" s="151" t="s">
        <v>52</v>
      </c>
      <c r="D10" s="41">
        <v>66766</v>
      </c>
      <c r="E10" s="390">
        <v>10000</v>
      </c>
      <c r="F10" s="153">
        <v>3336</v>
      </c>
      <c r="G10" s="159">
        <f t="shared" si="2"/>
        <v>13336</v>
      </c>
      <c r="H10" s="154">
        <f t="shared" si="3"/>
        <v>13176</v>
      </c>
      <c r="I10" s="38">
        <v>0</v>
      </c>
      <c r="J10" s="70">
        <v>160</v>
      </c>
      <c r="K10" s="161">
        <v>651795</v>
      </c>
      <c r="L10" s="44">
        <f>DGs!O11</f>
        <v>93569.8</v>
      </c>
      <c r="M10" s="157">
        <f t="shared" si="0"/>
        <v>55.891181763647275</v>
      </c>
      <c r="N10" s="160">
        <f t="shared" si="1"/>
        <v>0.25014997000599881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thickBot="1">
      <c r="A11" s="1"/>
      <c r="B11" s="30">
        <v>45839</v>
      </c>
      <c r="C11" s="151" t="s">
        <v>52</v>
      </c>
      <c r="D11" s="162"/>
      <c r="E11" s="391"/>
      <c r="F11" s="163"/>
      <c r="G11" s="159"/>
      <c r="H11" s="154"/>
      <c r="I11" s="53"/>
      <c r="J11" s="53"/>
      <c r="K11" s="164"/>
      <c r="L11" s="44"/>
      <c r="M11" s="157"/>
      <c r="N11" s="16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thickBot="1">
      <c r="A12" s="1"/>
      <c r="B12" s="30">
        <v>45870</v>
      </c>
      <c r="C12" s="151" t="s">
        <v>52</v>
      </c>
      <c r="D12" s="162"/>
      <c r="E12" s="392"/>
      <c r="F12" s="53"/>
      <c r="G12" s="159"/>
      <c r="H12" s="154"/>
      <c r="I12" s="53"/>
      <c r="J12" s="53"/>
      <c r="K12" s="165"/>
      <c r="L12" s="44"/>
      <c r="M12" s="157"/>
      <c r="N12" s="16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thickBot="1">
      <c r="A13" s="1"/>
      <c r="B13" s="30">
        <v>45901</v>
      </c>
      <c r="C13" s="151" t="s">
        <v>52</v>
      </c>
      <c r="D13" s="60"/>
      <c r="E13" s="390"/>
      <c r="F13" s="163"/>
      <c r="G13" s="159"/>
      <c r="H13" s="154"/>
      <c r="I13" s="39"/>
      <c r="J13" s="65"/>
      <c r="K13" s="166"/>
      <c r="L13" s="167"/>
      <c r="M13" s="157"/>
      <c r="N13" s="16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thickBot="1">
      <c r="A14" s="1"/>
      <c r="B14" s="30">
        <v>45931</v>
      </c>
      <c r="C14" s="151" t="s">
        <v>52</v>
      </c>
      <c r="D14" s="60"/>
      <c r="E14" s="390"/>
      <c r="F14" s="163"/>
      <c r="G14" s="159"/>
      <c r="H14" s="154"/>
      <c r="I14" s="39"/>
      <c r="J14" s="65"/>
      <c r="K14" s="166"/>
      <c r="L14" s="167"/>
      <c r="M14" s="157"/>
      <c r="N14" s="16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thickBot="1">
      <c r="A15" s="1"/>
      <c r="B15" s="30">
        <v>45962</v>
      </c>
      <c r="C15" s="151" t="s">
        <v>52</v>
      </c>
      <c r="D15" s="41"/>
      <c r="E15" s="388"/>
      <c r="F15" s="153"/>
      <c r="G15" s="159"/>
      <c r="H15" s="154"/>
      <c r="I15" s="38"/>
      <c r="J15" s="70"/>
      <c r="K15" s="44"/>
      <c r="L15" s="44"/>
      <c r="M15" s="157"/>
      <c r="N15" s="16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thickBot="1">
      <c r="A16" s="1"/>
      <c r="B16" s="30">
        <v>45992</v>
      </c>
      <c r="C16" s="168" t="s">
        <v>52</v>
      </c>
      <c r="D16" s="38"/>
      <c r="E16" s="389"/>
      <c r="F16" s="153"/>
      <c r="G16" s="159"/>
      <c r="H16" s="154"/>
      <c r="I16" s="169"/>
      <c r="J16" s="70"/>
      <c r="K16" s="170"/>
      <c r="L16" s="44"/>
      <c r="M16" s="157"/>
      <c r="N16" s="16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thickBot="1">
      <c r="A17" s="1"/>
      <c r="B17" s="171" t="s">
        <v>25</v>
      </c>
      <c r="C17" s="172" t="s">
        <v>52</v>
      </c>
      <c r="D17" s="171">
        <f t="shared" ref="D17:F17" si="4">+SUM(D5:D16)</f>
        <v>351777</v>
      </c>
      <c r="E17" s="171"/>
      <c r="F17" s="171">
        <f t="shared" si="4"/>
        <v>16281</v>
      </c>
      <c r="G17" s="6">
        <f t="shared" ref="G17" si="5">+D17+F17</f>
        <v>368058</v>
      </c>
      <c r="H17" s="171">
        <f t="shared" ref="H17:L17" si="6">+SUM(H5:H16)</f>
        <v>341888</v>
      </c>
      <c r="I17" s="173">
        <f t="shared" si="6"/>
        <v>4476</v>
      </c>
      <c r="J17" s="174">
        <f t="shared" si="6"/>
        <v>960</v>
      </c>
      <c r="K17" s="81">
        <f t="shared" si="6"/>
        <v>3814831</v>
      </c>
      <c r="L17" s="175">
        <f t="shared" si="6"/>
        <v>429950.88</v>
      </c>
      <c r="M17" s="176">
        <f>+AVERAGE(M5:M16)</f>
        <v>17.452182811993975</v>
      </c>
      <c r="N17" s="177">
        <f t="shared" si="1"/>
        <v>4.4234876024974328E-2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5">
      <c r="A18" s="1"/>
      <c r="B18" s="1"/>
      <c r="C18" s="1"/>
      <c r="D18" s="178">
        <f>D17/G17</f>
        <v>0.95576512397502567</v>
      </c>
      <c r="E18" s="178"/>
      <c r="F18" s="178">
        <f>F17/G17</f>
        <v>4.4234876024974328E-2</v>
      </c>
      <c r="G18" s="1"/>
      <c r="H18" s="1"/>
      <c r="I18" s="1"/>
      <c r="J18" s="179"/>
      <c r="K18" s="17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1"/>
      <c r="E24" s="1"/>
      <c r="F24" s="1">
        <f>D13-2692-1078</f>
        <v>-3770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69930555555555496" right="0.69930555555555496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T1000"/>
  <sheetViews>
    <sheetView workbookViewId="0">
      <selection activeCell="K30" sqref="K30"/>
    </sheetView>
  </sheetViews>
  <sheetFormatPr defaultColWidth="14.453125" defaultRowHeight="15" customHeight="1"/>
  <cols>
    <col min="1" max="1" width="8" customWidth="1"/>
    <col min="2" max="2" width="10.26953125" customWidth="1"/>
    <col min="3" max="4" width="15.54296875" customWidth="1"/>
    <col min="5" max="5" width="18.26953125" customWidth="1"/>
    <col min="6" max="6" width="15.08984375" customWidth="1"/>
    <col min="7" max="8" width="13.08984375" customWidth="1"/>
    <col min="9" max="11" width="13.26953125" customWidth="1"/>
    <col min="12" max="13" width="14.453125" customWidth="1"/>
    <col min="14" max="15" width="9" customWidth="1"/>
    <col min="16" max="16" width="14.81640625" customWidth="1"/>
    <col min="17" max="17" width="10.81640625" customWidth="1"/>
    <col min="18" max="20" width="9" customWidth="1"/>
  </cols>
  <sheetData>
    <row r="1" spans="1:20" ht="15" customHeight="1">
      <c r="P1" s="1"/>
    </row>
    <row r="2" spans="1:20" ht="14.5">
      <c r="P2" s="1"/>
    </row>
    <row r="3" spans="1:20" ht="15.75" customHeight="1">
      <c r="A3" s="426" t="s">
        <v>3</v>
      </c>
      <c r="B3" s="426" t="s">
        <v>53</v>
      </c>
      <c r="C3" s="427" t="s">
        <v>54</v>
      </c>
      <c r="D3" s="407"/>
      <c r="E3" s="408"/>
      <c r="F3" s="180"/>
      <c r="G3" s="180"/>
      <c r="H3" s="180"/>
      <c r="I3" s="428" t="s">
        <v>55</v>
      </c>
      <c r="J3" s="429"/>
      <c r="K3" s="430"/>
      <c r="L3" s="433" t="s">
        <v>56</v>
      </c>
      <c r="M3" s="418" t="s">
        <v>57</v>
      </c>
      <c r="N3" s="434"/>
      <c r="O3" s="181"/>
      <c r="P3" s="182"/>
      <c r="Q3" s="181"/>
      <c r="R3" s="181"/>
      <c r="S3" s="181"/>
      <c r="T3" s="181"/>
    </row>
    <row r="4" spans="1:20" ht="15.75" customHeight="1" thickBot="1">
      <c r="A4" s="411"/>
      <c r="B4" s="411"/>
      <c r="C4" s="431" t="s">
        <v>58</v>
      </c>
      <c r="D4" s="431" t="s">
        <v>59</v>
      </c>
      <c r="E4" s="412" t="s">
        <v>60</v>
      </c>
      <c r="F4" s="413" t="s">
        <v>61</v>
      </c>
      <c r="G4" s="407"/>
      <c r="H4" s="408"/>
      <c r="I4" s="420" t="s">
        <v>62</v>
      </c>
      <c r="J4" s="407"/>
      <c r="K4" s="421"/>
      <c r="L4" s="411"/>
      <c r="M4" s="411"/>
      <c r="N4" s="405"/>
      <c r="P4" s="432" t="s">
        <v>63</v>
      </c>
      <c r="Q4" s="432" t="s">
        <v>64</v>
      </c>
    </row>
    <row r="5" spans="1:20" ht="26.25" customHeight="1">
      <c r="A5" s="411"/>
      <c r="B5" s="411"/>
      <c r="C5" s="411"/>
      <c r="D5" s="411"/>
      <c r="E5" s="411"/>
      <c r="F5" s="414" t="s">
        <v>65</v>
      </c>
      <c r="G5" s="416" t="s">
        <v>66</v>
      </c>
      <c r="H5" s="418" t="s">
        <v>25</v>
      </c>
      <c r="I5" s="422" t="s">
        <v>67</v>
      </c>
      <c r="J5" s="423" t="s">
        <v>68</v>
      </c>
      <c r="K5" s="424" t="s">
        <v>69</v>
      </c>
      <c r="L5" s="411"/>
      <c r="M5" s="411"/>
      <c r="N5" s="183" t="s">
        <v>70</v>
      </c>
      <c r="P5" s="405"/>
      <c r="Q5" s="405"/>
    </row>
    <row r="6" spans="1:20" ht="29.25" customHeight="1" thickBot="1">
      <c r="A6" s="405"/>
      <c r="B6" s="405"/>
      <c r="C6" s="419"/>
      <c r="D6" s="405"/>
      <c r="E6" s="405"/>
      <c r="F6" s="415"/>
      <c r="G6" s="417"/>
      <c r="H6" s="419"/>
      <c r="I6" s="405"/>
      <c r="J6" s="405"/>
      <c r="K6" s="425"/>
      <c r="L6" s="405"/>
      <c r="M6" s="405"/>
      <c r="N6" s="184" t="s">
        <v>71</v>
      </c>
      <c r="P6" s="185" t="s">
        <v>72</v>
      </c>
      <c r="Q6" s="186" t="s">
        <v>73</v>
      </c>
    </row>
    <row r="7" spans="1:20" ht="15.75" customHeight="1" thickBot="1">
      <c r="A7" s="30">
        <v>45658</v>
      </c>
      <c r="B7" s="410" t="s">
        <v>74</v>
      </c>
      <c r="C7" s="187">
        <v>0</v>
      </c>
      <c r="D7" s="188">
        <v>1641</v>
      </c>
      <c r="E7" s="189">
        <f t="shared" ref="E7:E18" si="0">D7+C7</f>
        <v>1641</v>
      </c>
      <c r="F7" s="190">
        <v>45.9</v>
      </c>
      <c r="G7" s="190">
        <v>174</v>
      </c>
      <c r="H7" s="191">
        <f t="shared" ref="H7:H18" si="1">G7+F7</f>
        <v>219.9</v>
      </c>
      <c r="I7" s="189">
        <v>5.2</v>
      </c>
      <c r="J7" s="192">
        <f t="shared" ref="J7:J12" si="2">L7-I7-K7</f>
        <v>1809.8</v>
      </c>
      <c r="K7" s="190">
        <f t="shared" ref="K7:K13" si="3">F7</f>
        <v>45.9</v>
      </c>
      <c r="L7" s="191">
        <f t="shared" ref="L7:L18" si="4">H7+E7</f>
        <v>1860.9</v>
      </c>
      <c r="M7" s="193">
        <f t="shared" ref="M7:M18" si="5">H7/L7</f>
        <v>0.11816862808318555</v>
      </c>
      <c r="N7" s="194">
        <v>1303</v>
      </c>
      <c r="O7" s="195"/>
      <c r="P7" s="196"/>
      <c r="Q7" s="196"/>
      <c r="S7" s="100"/>
      <c r="T7" s="197"/>
    </row>
    <row r="8" spans="1:20" ht="16" thickBot="1">
      <c r="A8" s="30">
        <v>45689</v>
      </c>
      <c r="B8" s="411"/>
      <c r="C8" s="187">
        <v>0</v>
      </c>
      <c r="D8" s="188">
        <v>1653</v>
      </c>
      <c r="E8" s="198">
        <f t="shared" si="0"/>
        <v>1653</v>
      </c>
      <c r="F8" s="190">
        <v>40.1</v>
      </c>
      <c r="G8" s="190">
        <v>168</v>
      </c>
      <c r="H8" s="191">
        <f t="shared" si="1"/>
        <v>208.1</v>
      </c>
      <c r="I8" s="189">
        <v>5.2</v>
      </c>
      <c r="J8" s="192">
        <f t="shared" si="2"/>
        <v>1815.8</v>
      </c>
      <c r="K8" s="190">
        <f t="shared" si="3"/>
        <v>40.1</v>
      </c>
      <c r="L8" s="191">
        <f t="shared" si="4"/>
        <v>1861.1</v>
      </c>
      <c r="M8" s="193">
        <f t="shared" si="5"/>
        <v>0.11181559292891301</v>
      </c>
      <c r="N8" s="199">
        <v>1158</v>
      </c>
      <c r="O8" s="195"/>
      <c r="P8" s="196"/>
      <c r="Q8" s="196"/>
      <c r="S8" s="100"/>
      <c r="T8" s="197"/>
    </row>
    <row r="9" spans="1:20" ht="16" thickBot="1">
      <c r="A9" s="30">
        <v>45717</v>
      </c>
      <c r="B9" s="411"/>
      <c r="C9" s="187">
        <v>0</v>
      </c>
      <c r="D9" s="188">
        <v>1686</v>
      </c>
      <c r="E9" s="198">
        <f t="shared" si="0"/>
        <v>1686</v>
      </c>
      <c r="F9" s="190">
        <v>34.5</v>
      </c>
      <c r="G9" s="190">
        <v>202</v>
      </c>
      <c r="H9" s="191">
        <f t="shared" si="1"/>
        <v>236.5</v>
      </c>
      <c r="I9" s="189">
        <v>0</v>
      </c>
      <c r="J9" s="192">
        <f t="shared" si="2"/>
        <v>1888</v>
      </c>
      <c r="K9" s="190">
        <f t="shared" si="3"/>
        <v>34.5</v>
      </c>
      <c r="L9" s="191">
        <f t="shared" si="4"/>
        <v>1922.5</v>
      </c>
      <c r="M9" s="193">
        <f t="shared" si="5"/>
        <v>0.12301690507152145</v>
      </c>
      <c r="N9" s="199">
        <v>1127</v>
      </c>
      <c r="O9" s="200"/>
      <c r="P9" s="15"/>
      <c r="Q9" s="15">
        <f t="shared" ref="Q9:Q18" si="6">D9*P9</f>
        <v>0</v>
      </c>
    </row>
    <row r="10" spans="1:20" ht="16" thickBot="1">
      <c r="A10" s="30">
        <v>45748</v>
      </c>
      <c r="B10" s="411"/>
      <c r="C10" s="201">
        <v>0</v>
      </c>
      <c r="D10" s="188">
        <v>1670</v>
      </c>
      <c r="E10" s="198">
        <f t="shared" si="0"/>
        <v>1670</v>
      </c>
      <c r="F10" s="190">
        <v>33.299999999999997</v>
      </c>
      <c r="G10" s="190">
        <v>186</v>
      </c>
      <c r="H10" s="191">
        <f t="shared" si="1"/>
        <v>219.3</v>
      </c>
      <c r="I10" s="189">
        <v>6.3</v>
      </c>
      <c r="J10" s="192">
        <f t="shared" si="2"/>
        <v>1849.7</v>
      </c>
      <c r="K10" s="190">
        <f t="shared" si="3"/>
        <v>33.299999999999997</v>
      </c>
      <c r="L10" s="191">
        <f t="shared" si="4"/>
        <v>1889.3</v>
      </c>
      <c r="M10" s="193">
        <f t="shared" si="5"/>
        <v>0.11607473667495899</v>
      </c>
      <c r="N10" s="199">
        <v>1248</v>
      </c>
      <c r="O10" s="200"/>
      <c r="P10" s="15"/>
      <c r="Q10" s="15">
        <f t="shared" si="6"/>
        <v>0</v>
      </c>
    </row>
    <row r="11" spans="1:20" ht="16" thickBot="1">
      <c r="A11" s="30">
        <v>45778</v>
      </c>
      <c r="B11" s="411"/>
      <c r="C11" s="201">
        <v>0</v>
      </c>
      <c r="D11" s="203">
        <v>1659</v>
      </c>
      <c r="E11" s="198">
        <f t="shared" si="0"/>
        <v>1659</v>
      </c>
      <c r="F11" s="204">
        <v>52.2</v>
      </c>
      <c r="G11" s="202">
        <v>205</v>
      </c>
      <c r="H11" s="191">
        <f t="shared" si="1"/>
        <v>257.2</v>
      </c>
      <c r="I11" s="191">
        <v>7.8</v>
      </c>
      <c r="J11" s="192">
        <f t="shared" si="2"/>
        <v>1856.2</v>
      </c>
      <c r="K11" s="190">
        <f t="shared" si="3"/>
        <v>52.2</v>
      </c>
      <c r="L11" s="191">
        <f t="shared" si="4"/>
        <v>1916.2</v>
      </c>
      <c r="M11" s="193">
        <f t="shared" si="5"/>
        <v>0.13422398497025362</v>
      </c>
      <c r="N11" s="205">
        <v>764</v>
      </c>
      <c r="O11" s="200"/>
      <c r="P11" s="15"/>
      <c r="Q11" s="15">
        <f t="shared" si="6"/>
        <v>0</v>
      </c>
    </row>
    <row r="12" spans="1:20" ht="16" thickBot="1">
      <c r="A12" s="30">
        <v>45809</v>
      </c>
      <c r="B12" s="411"/>
      <c r="C12" s="201">
        <v>0</v>
      </c>
      <c r="D12" s="203">
        <v>1693</v>
      </c>
      <c r="E12" s="198">
        <f t="shared" si="0"/>
        <v>1693</v>
      </c>
      <c r="F12" s="204">
        <v>51.4</v>
      </c>
      <c r="G12" s="202">
        <v>212</v>
      </c>
      <c r="H12" s="191">
        <f t="shared" si="1"/>
        <v>263.39999999999998</v>
      </c>
      <c r="I12" s="191">
        <v>6.8</v>
      </c>
      <c r="J12" s="192">
        <f t="shared" si="2"/>
        <v>1898.2</v>
      </c>
      <c r="K12" s="190">
        <f t="shared" si="3"/>
        <v>51.4</v>
      </c>
      <c r="L12" s="191">
        <f t="shared" si="4"/>
        <v>1956.4</v>
      </c>
      <c r="M12" s="193">
        <f t="shared" si="5"/>
        <v>0.13463504395829071</v>
      </c>
      <c r="N12" s="206">
        <v>1512</v>
      </c>
      <c r="O12" s="200"/>
      <c r="P12" s="15"/>
      <c r="Q12" s="15">
        <f t="shared" si="6"/>
        <v>0</v>
      </c>
    </row>
    <row r="13" spans="1:20" ht="16" thickBot="1">
      <c r="A13" s="30">
        <v>45839</v>
      </c>
      <c r="B13" s="411"/>
      <c r="C13" s="201">
        <v>0</v>
      </c>
      <c r="D13" s="207">
        <v>1733</v>
      </c>
      <c r="E13" s="198">
        <f t="shared" si="0"/>
        <v>1733</v>
      </c>
      <c r="F13" s="208">
        <v>37.6</v>
      </c>
      <c r="G13" s="208">
        <v>186</v>
      </c>
      <c r="H13" s="191">
        <f t="shared" si="1"/>
        <v>223.6</v>
      </c>
      <c r="I13" s="207">
        <v>8.6</v>
      </c>
      <c r="J13" s="209">
        <v>1924.7</v>
      </c>
      <c r="K13" s="190">
        <f t="shared" si="3"/>
        <v>37.6</v>
      </c>
      <c r="L13" s="191">
        <f t="shared" si="4"/>
        <v>1956.6</v>
      </c>
      <c r="M13" s="193">
        <f t="shared" si="5"/>
        <v>0.11427987324951447</v>
      </c>
      <c r="N13" s="210">
        <v>1241</v>
      </c>
      <c r="O13" s="200"/>
      <c r="P13" s="15"/>
      <c r="Q13" s="15">
        <f t="shared" si="6"/>
        <v>0</v>
      </c>
    </row>
    <row r="14" spans="1:20" ht="16" thickBot="1">
      <c r="A14" s="30">
        <v>45870</v>
      </c>
      <c r="B14" s="411"/>
      <c r="C14" s="201"/>
      <c r="D14" s="211"/>
      <c r="E14" s="198"/>
      <c r="F14" s="212"/>
      <c r="G14" s="212"/>
      <c r="H14" s="191"/>
      <c r="I14" s="207"/>
      <c r="J14" s="192"/>
      <c r="K14" s="212"/>
      <c r="L14" s="191"/>
      <c r="M14" s="193"/>
      <c r="N14" s="212"/>
      <c r="O14" s="200"/>
      <c r="P14" s="15"/>
      <c r="Q14" s="15">
        <f t="shared" si="6"/>
        <v>0</v>
      </c>
    </row>
    <row r="15" spans="1:20" ht="16" thickBot="1">
      <c r="A15" s="30">
        <v>45901</v>
      </c>
      <c r="B15" s="411"/>
      <c r="C15" s="201"/>
      <c r="D15" s="211"/>
      <c r="E15" s="198"/>
      <c r="F15" s="213"/>
      <c r="G15" s="206"/>
      <c r="H15" s="191"/>
      <c r="I15" s="214"/>
      <c r="J15" s="192"/>
      <c r="K15" s="214"/>
      <c r="L15" s="191"/>
      <c r="M15" s="193"/>
      <c r="N15" s="206"/>
      <c r="O15" s="200"/>
      <c r="P15" s="15"/>
      <c r="Q15" s="15">
        <f t="shared" si="6"/>
        <v>0</v>
      </c>
    </row>
    <row r="16" spans="1:20" ht="16" thickBot="1">
      <c r="A16" s="30">
        <v>45931</v>
      </c>
      <c r="B16" s="411"/>
      <c r="C16" s="201"/>
      <c r="D16" s="211"/>
      <c r="E16" s="198"/>
      <c r="F16" s="213"/>
      <c r="G16" s="206"/>
      <c r="H16" s="191"/>
      <c r="I16" s="214"/>
      <c r="J16" s="192"/>
      <c r="K16" s="214"/>
      <c r="L16" s="191"/>
      <c r="M16" s="193"/>
      <c r="N16" s="206"/>
      <c r="O16" s="200"/>
      <c r="P16" s="15"/>
      <c r="Q16" s="15">
        <f t="shared" si="6"/>
        <v>0</v>
      </c>
    </row>
    <row r="17" spans="1:20" ht="16" thickBot="1">
      <c r="A17" s="30">
        <v>45962</v>
      </c>
      <c r="B17" s="411"/>
      <c r="C17" s="201"/>
      <c r="D17" s="201"/>
      <c r="E17" s="198"/>
      <c r="F17" s="204"/>
      <c r="G17" s="202"/>
      <c r="H17" s="191"/>
      <c r="I17" s="191"/>
      <c r="J17" s="192"/>
      <c r="K17" s="191"/>
      <c r="L17" s="191"/>
      <c r="M17" s="193"/>
      <c r="N17" s="202"/>
      <c r="O17" s="200"/>
      <c r="P17" s="15"/>
      <c r="Q17" s="15">
        <f t="shared" si="6"/>
        <v>0</v>
      </c>
    </row>
    <row r="18" spans="1:20" ht="16" thickBot="1">
      <c r="A18" s="30">
        <v>45992</v>
      </c>
      <c r="B18" s="405"/>
      <c r="C18" s="201">
        <v>0</v>
      </c>
      <c r="D18" s="201"/>
      <c r="E18" s="198">
        <f t="shared" si="0"/>
        <v>0</v>
      </c>
      <c r="F18" s="204"/>
      <c r="G18" s="202"/>
      <c r="H18" s="191">
        <f t="shared" si="1"/>
        <v>0</v>
      </c>
      <c r="I18" s="191"/>
      <c r="J18" s="192">
        <f t="shared" ref="J18" si="7">L18-I18-K18</f>
        <v>0</v>
      </c>
      <c r="K18" s="191"/>
      <c r="L18" s="191">
        <f t="shared" si="4"/>
        <v>0</v>
      </c>
      <c r="M18" s="193" t="e">
        <f t="shared" si="5"/>
        <v>#DIV/0!</v>
      </c>
      <c r="N18" s="202"/>
      <c r="O18" s="200"/>
      <c r="P18" s="15"/>
      <c r="Q18" s="15">
        <f t="shared" si="6"/>
        <v>0</v>
      </c>
    </row>
    <row r="19" spans="1:20" ht="15.5">
      <c r="A19" s="215"/>
      <c r="B19" s="215"/>
      <c r="C19" s="215">
        <f t="shared" ref="C19:N19" si="8">SUM(C7:C18)</f>
        <v>0</v>
      </c>
      <c r="D19" s="215">
        <f t="shared" si="8"/>
        <v>11735</v>
      </c>
      <c r="E19" s="215">
        <f t="shared" si="8"/>
        <v>11735</v>
      </c>
      <c r="F19" s="215">
        <f t="shared" si="8"/>
        <v>295</v>
      </c>
      <c r="G19" s="215">
        <f t="shared" si="8"/>
        <v>1333</v>
      </c>
      <c r="H19" s="215">
        <f t="shared" si="8"/>
        <v>1628</v>
      </c>
      <c r="I19" s="215">
        <f t="shared" si="8"/>
        <v>39.9</v>
      </c>
      <c r="J19" s="215">
        <f t="shared" si="8"/>
        <v>13042.400000000001</v>
      </c>
      <c r="K19" s="215">
        <f t="shared" si="8"/>
        <v>295</v>
      </c>
      <c r="L19" s="215">
        <f t="shared" si="8"/>
        <v>13363</v>
      </c>
      <c r="M19" s="215" t="e">
        <f t="shared" si="8"/>
        <v>#DIV/0!</v>
      </c>
      <c r="N19" s="215">
        <f t="shared" si="8"/>
        <v>8353</v>
      </c>
      <c r="O19" s="216"/>
      <c r="P19" s="182"/>
      <c r="Q19" s="215"/>
      <c r="R19" s="215"/>
      <c r="S19" s="215"/>
      <c r="T19" s="215"/>
    </row>
    <row r="20" spans="1:20" ht="15.5">
      <c r="F20" s="217"/>
      <c r="I20" s="218"/>
      <c r="K20" s="219"/>
      <c r="N20" s="219"/>
      <c r="P20" s="1"/>
    </row>
    <row r="21" spans="1:20" ht="45" customHeight="1">
      <c r="D21" s="220">
        <f>D15-177</f>
        <v>-177</v>
      </c>
      <c r="I21" s="221" t="s">
        <v>75</v>
      </c>
      <c r="J21" s="221" t="s">
        <v>75</v>
      </c>
      <c r="N21" s="220">
        <f>13738/303</f>
        <v>45.339933993399342</v>
      </c>
      <c r="P21" s="1"/>
    </row>
    <row r="22" spans="1:20" ht="15.75" customHeight="1">
      <c r="P22" s="1"/>
    </row>
    <row r="23" spans="1:20" ht="15.75" customHeight="1">
      <c r="P23" s="1"/>
    </row>
    <row r="24" spans="1:20" ht="15.75" customHeight="1" thickBot="1">
      <c r="P24" s="1"/>
    </row>
    <row r="25" spans="1:20" ht="15.75" customHeight="1" thickBot="1">
      <c r="D25" s="190"/>
      <c r="G25" s="189"/>
      <c r="P25" s="1"/>
    </row>
    <row r="26" spans="1:20" ht="15.75" customHeight="1" thickBot="1">
      <c r="D26" s="190"/>
      <c r="G26" s="189"/>
      <c r="P26" s="1"/>
    </row>
    <row r="27" spans="1:20" ht="15.75" customHeight="1" thickBot="1">
      <c r="D27" s="190"/>
      <c r="G27" s="189"/>
      <c r="P27" s="1"/>
    </row>
    <row r="28" spans="1:20" ht="15.75" customHeight="1" thickBot="1">
      <c r="D28" s="190"/>
      <c r="G28" s="189"/>
      <c r="P28" s="1"/>
    </row>
    <row r="29" spans="1:20" ht="15.75" customHeight="1" thickBot="1">
      <c r="D29" s="204"/>
      <c r="G29" s="191"/>
      <c r="P29" s="1"/>
    </row>
    <row r="30" spans="1:20" ht="15.75" customHeight="1" thickBot="1">
      <c r="D30" s="204"/>
      <c r="G30" s="191"/>
      <c r="P30" s="1"/>
    </row>
    <row r="31" spans="1:20" ht="15.75" customHeight="1" thickBot="1">
      <c r="D31" s="204"/>
      <c r="G31" s="191"/>
      <c r="P31" s="1"/>
    </row>
    <row r="32" spans="1:20" ht="15.75" customHeight="1" thickBot="1">
      <c r="D32" s="204"/>
      <c r="G32" s="191"/>
      <c r="P32" s="1"/>
    </row>
    <row r="33" spans="4:16" ht="15.75" customHeight="1" thickBot="1">
      <c r="D33" s="204"/>
      <c r="G33" s="191"/>
      <c r="P33" s="1"/>
    </row>
    <row r="34" spans="4:16" ht="15.75" customHeight="1" thickBot="1">
      <c r="D34" s="204"/>
      <c r="G34" s="191"/>
      <c r="P34" s="1"/>
    </row>
    <row r="35" spans="4:16" ht="15.75" customHeight="1" thickBot="1">
      <c r="D35" s="204"/>
      <c r="G35" s="191"/>
      <c r="P35" s="1"/>
    </row>
    <row r="36" spans="4:16" ht="15.75" customHeight="1" thickBot="1">
      <c r="D36" s="204"/>
      <c r="G36" s="191"/>
      <c r="P36" s="1"/>
    </row>
    <row r="37" spans="4:16" ht="15.75" customHeight="1">
      <c r="P37" s="1"/>
    </row>
    <row r="38" spans="4:16" ht="15.75" customHeight="1">
      <c r="P38" s="1"/>
    </row>
    <row r="39" spans="4:16" ht="15.75" customHeight="1">
      <c r="P39" s="1"/>
    </row>
    <row r="40" spans="4:16" ht="15.75" customHeight="1">
      <c r="P40" s="1"/>
    </row>
    <row r="41" spans="4:16" ht="15.75" customHeight="1">
      <c r="P41" s="1"/>
    </row>
    <row r="42" spans="4:16" ht="15.75" customHeight="1">
      <c r="P42" s="1"/>
    </row>
    <row r="43" spans="4:16" ht="15.75" customHeight="1">
      <c r="P43" s="1"/>
    </row>
    <row r="44" spans="4:16" ht="15.75" customHeight="1">
      <c r="P44" s="1"/>
    </row>
    <row r="45" spans="4:16" ht="15.75" customHeight="1">
      <c r="P45" s="1"/>
    </row>
    <row r="46" spans="4:16" ht="15.75" customHeight="1">
      <c r="P46" s="1"/>
    </row>
    <row r="47" spans="4:16" ht="15.75" customHeight="1">
      <c r="P47" s="1"/>
    </row>
    <row r="48" spans="4:16" ht="15.75" customHeight="1">
      <c r="P48" s="1"/>
    </row>
    <row r="49" spans="16:16" ht="15.75" customHeight="1">
      <c r="P49" s="1"/>
    </row>
    <row r="50" spans="16:16" ht="15.75" customHeight="1">
      <c r="P50" s="1"/>
    </row>
    <row r="51" spans="16:16" ht="15.75" customHeight="1">
      <c r="P51" s="1"/>
    </row>
    <row r="52" spans="16:16" ht="15.75" customHeight="1">
      <c r="P52" s="1"/>
    </row>
    <row r="53" spans="16:16" ht="15.75" customHeight="1">
      <c r="P53" s="1"/>
    </row>
    <row r="54" spans="16:16" ht="15.75" customHeight="1">
      <c r="P54" s="1"/>
    </row>
    <row r="55" spans="16:16" ht="15.75" customHeight="1">
      <c r="P55" s="1"/>
    </row>
    <row r="56" spans="16:16" ht="15.75" customHeight="1">
      <c r="P56" s="1"/>
    </row>
    <row r="57" spans="16:16" ht="15.75" customHeight="1">
      <c r="P57" s="1"/>
    </row>
    <row r="58" spans="16:16" ht="15.75" customHeight="1">
      <c r="P58" s="1"/>
    </row>
    <row r="59" spans="16:16" ht="15.75" customHeight="1">
      <c r="P59" s="1"/>
    </row>
    <row r="60" spans="16:16" ht="15.75" customHeight="1">
      <c r="P60" s="1"/>
    </row>
    <row r="61" spans="16:16" ht="15.75" customHeight="1">
      <c r="P61" s="1"/>
    </row>
    <row r="62" spans="16:16" ht="15.75" customHeight="1">
      <c r="P62" s="1"/>
    </row>
    <row r="63" spans="16:16" ht="15.75" customHeight="1">
      <c r="P63" s="1"/>
    </row>
    <row r="64" spans="16:16" ht="15.75" customHeight="1">
      <c r="P64" s="1"/>
    </row>
    <row r="65" spans="16:16" ht="15.75" customHeight="1">
      <c r="P65" s="1"/>
    </row>
    <row r="66" spans="16:16" ht="15.75" customHeight="1">
      <c r="P66" s="1"/>
    </row>
    <row r="67" spans="16:16" ht="15.75" customHeight="1">
      <c r="P67" s="1"/>
    </row>
    <row r="68" spans="16:16" ht="15.75" customHeight="1">
      <c r="P68" s="1"/>
    </row>
    <row r="69" spans="16:16" ht="15.75" customHeight="1">
      <c r="P69" s="1"/>
    </row>
    <row r="70" spans="16:16" ht="15.75" customHeight="1">
      <c r="P70" s="1"/>
    </row>
    <row r="71" spans="16:16" ht="15.75" customHeight="1">
      <c r="P71" s="1"/>
    </row>
    <row r="72" spans="16:16" ht="15.75" customHeight="1">
      <c r="P72" s="1"/>
    </row>
    <row r="73" spans="16:16" ht="15.75" customHeight="1">
      <c r="P73" s="1"/>
    </row>
    <row r="74" spans="16:16" ht="15.75" customHeight="1">
      <c r="P74" s="1"/>
    </row>
    <row r="75" spans="16:16" ht="15.75" customHeight="1">
      <c r="P75" s="1"/>
    </row>
    <row r="76" spans="16:16" ht="15.75" customHeight="1">
      <c r="P76" s="1"/>
    </row>
    <row r="77" spans="16:16" ht="15.75" customHeight="1">
      <c r="P77" s="1"/>
    </row>
    <row r="78" spans="16:16" ht="15.75" customHeight="1">
      <c r="P78" s="1"/>
    </row>
    <row r="79" spans="16:16" ht="15.75" customHeight="1">
      <c r="P79" s="1"/>
    </row>
    <row r="80" spans="16:16" ht="15.75" customHeight="1">
      <c r="P80" s="1"/>
    </row>
    <row r="81" spans="16:16" ht="15.75" customHeight="1">
      <c r="P81" s="1"/>
    </row>
    <row r="82" spans="16:16" ht="15.75" customHeight="1">
      <c r="P82" s="1"/>
    </row>
    <row r="83" spans="16:16" ht="15.75" customHeight="1">
      <c r="P83" s="1"/>
    </row>
    <row r="84" spans="16:16" ht="15.75" customHeight="1">
      <c r="P84" s="1"/>
    </row>
    <row r="85" spans="16:16" ht="15.75" customHeight="1">
      <c r="P85" s="1"/>
    </row>
    <row r="86" spans="16:16" ht="15.75" customHeight="1">
      <c r="P86" s="1"/>
    </row>
    <row r="87" spans="16:16" ht="15.75" customHeight="1">
      <c r="P87" s="1"/>
    </row>
    <row r="88" spans="16:16" ht="15.75" customHeight="1">
      <c r="P88" s="1"/>
    </row>
    <row r="89" spans="16:16" ht="15.75" customHeight="1">
      <c r="P89" s="1"/>
    </row>
    <row r="90" spans="16:16" ht="15.75" customHeight="1">
      <c r="P90" s="1"/>
    </row>
    <row r="91" spans="16:16" ht="15.75" customHeight="1">
      <c r="P91" s="1"/>
    </row>
    <row r="92" spans="16:16" ht="15.75" customHeight="1">
      <c r="P92" s="1"/>
    </row>
    <row r="93" spans="16:16" ht="15.75" customHeight="1">
      <c r="P93" s="1"/>
    </row>
    <row r="94" spans="16:16" ht="15.75" customHeight="1">
      <c r="P94" s="1"/>
    </row>
    <row r="95" spans="16:16" ht="15.75" customHeight="1">
      <c r="P95" s="1"/>
    </row>
    <row r="96" spans="16:16" ht="15.75" customHeight="1">
      <c r="P96" s="1"/>
    </row>
    <row r="97" spans="16:16" ht="15.75" customHeight="1">
      <c r="P97" s="1"/>
    </row>
    <row r="98" spans="16:16" ht="15.75" customHeight="1">
      <c r="P98" s="1"/>
    </row>
    <row r="99" spans="16:16" ht="15.75" customHeight="1">
      <c r="P99" s="1"/>
    </row>
    <row r="100" spans="16:16" ht="15.75" customHeight="1">
      <c r="P100" s="1"/>
    </row>
    <row r="101" spans="16:16" ht="15.75" customHeight="1">
      <c r="P101" s="1"/>
    </row>
    <row r="102" spans="16:16" ht="15.75" customHeight="1">
      <c r="P102" s="1"/>
    </row>
    <row r="103" spans="16:16" ht="15.75" customHeight="1">
      <c r="P103" s="1"/>
    </row>
    <row r="104" spans="16:16" ht="15.75" customHeight="1">
      <c r="P104" s="1"/>
    </row>
    <row r="105" spans="16:16" ht="15.75" customHeight="1">
      <c r="P105" s="1"/>
    </row>
    <row r="106" spans="16:16" ht="15.75" customHeight="1">
      <c r="P106" s="1"/>
    </row>
    <row r="107" spans="16:16" ht="15.75" customHeight="1">
      <c r="P107" s="1"/>
    </row>
    <row r="108" spans="16:16" ht="15.75" customHeight="1">
      <c r="P108" s="1"/>
    </row>
    <row r="109" spans="16:16" ht="15.75" customHeight="1">
      <c r="P109" s="1"/>
    </row>
    <row r="110" spans="16:16" ht="15.75" customHeight="1">
      <c r="P110" s="1"/>
    </row>
    <row r="111" spans="16:16" ht="15.75" customHeight="1">
      <c r="P111" s="1"/>
    </row>
    <row r="112" spans="16:16" ht="15.75" customHeight="1">
      <c r="P112" s="1"/>
    </row>
    <row r="113" spans="16:16" ht="15.75" customHeight="1">
      <c r="P113" s="1"/>
    </row>
    <row r="114" spans="16:16" ht="15.75" customHeight="1">
      <c r="P114" s="1"/>
    </row>
    <row r="115" spans="16:16" ht="15.75" customHeight="1">
      <c r="P115" s="1"/>
    </row>
    <row r="116" spans="16:16" ht="15.75" customHeight="1">
      <c r="P116" s="1"/>
    </row>
    <row r="117" spans="16:16" ht="15.75" customHeight="1">
      <c r="P117" s="1"/>
    </row>
    <row r="118" spans="16:16" ht="15.75" customHeight="1">
      <c r="P118" s="1"/>
    </row>
    <row r="119" spans="16:16" ht="15.75" customHeight="1">
      <c r="P119" s="1"/>
    </row>
    <row r="120" spans="16:16" ht="15.75" customHeight="1">
      <c r="P120" s="1"/>
    </row>
    <row r="121" spans="16:16" ht="15.75" customHeight="1">
      <c r="P121" s="1"/>
    </row>
    <row r="122" spans="16:16" ht="15.75" customHeight="1">
      <c r="P122" s="1"/>
    </row>
    <row r="123" spans="16:16" ht="15.75" customHeight="1">
      <c r="P123" s="1"/>
    </row>
    <row r="124" spans="16:16" ht="15.75" customHeight="1">
      <c r="P124" s="1"/>
    </row>
    <row r="125" spans="16:16" ht="15.75" customHeight="1">
      <c r="P125" s="1"/>
    </row>
    <row r="126" spans="16:16" ht="15.75" customHeight="1">
      <c r="P126" s="1"/>
    </row>
    <row r="127" spans="16:16" ht="15.75" customHeight="1">
      <c r="P127" s="1"/>
    </row>
    <row r="128" spans="16:16" ht="15.75" customHeight="1">
      <c r="P128" s="1"/>
    </row>
    <row r="129" spans="16:16" ht="15.75" customHeight="1">
      <c r="P129" s="1"/>
    </row>
    <row r="130" spans="16:16" ht="15.75" customHeight="1">
      <c r="P130" s="1"/>
    </row>
    <row r="131" spans="16:16" ht="15.75" customHeight="1">
      <c r="P131" s="1"/>
    </row>
    <row r="132" spans="16:16" ht="15.75" customHeight="1">
      <c r="P132" s="1"/>
    </row>
    <row r="133" spans="16:16" ht="15.75" customHeight="1">
      <c r="P133" s="1"/>
    </row>
    <row r="134" spans="16:16" ht="15.75" customHeight="1">
      <c r="P134" s="1"/>
    </row>
    <row r="135" spans="16:16" ht="15.75" customHeight="1">
      <c r="P135" s="1"/>
    </row>
    <row r="136" spans="16:16" ht="15.75" customHeight="1">
      <c r="P136" s="1"/>
    </row>
    <row r="137" spans="16:16" ht="15.75" customHeight="1">
      <c r="P137" s="1"/>
    </row>
    <row r="138" spans="16:16" ht="15.75" customHeight="1">
      <c r="P138" s="1"/>
    </row>
    <row r="139" spans="16:16" ht="15.75" customHeight="1">
      <c r="P139" s="1"/>
    </row>
    <row r="140" spans="16:16" ht="15.75" customHeight="1">
      <c r="P140" s="1"/>
    </row>
    <row r="141" spans="16:16" ht="15.75" customHeight="1">
      <c r="P141" s="1"/>
    </row>
    <row r="142" spans="16:16" ht="15.75" customHeight="1">
      <c r="P142" s="1"/>
    </row>
    <row r="143" spans="16:16" ht="15.75" customHeight="1">
      <c r="P143" s="1"/>
    </row>
    <row r="144" spans="16:16" ht="15.75" customHeight="1">
      <c r="P144" s="1"/>
    </row>
    <row r="145" spans="16:16" ht="15.75" customHeight="1">
      <c r="P145" s="1"/>
    </row>
    <row r="146" spans="16:16" ht="15.75" customHeight="1">
      <c r="P146" s="1"/>
    </row>
    <row r="147" spans="16:16" ht="15.75" customHeight="1">
      <c r="P147" s="1"/>
    </row>
    <row r="148" spans="16:16" ht="15.75" customHeight="1">
      <c r="P148" s="1"/>
    </row>
    <row r="149" spans="16:16" ht="15.75" customHeight="1">
      <c r="P149" s="1"/>
    </row>
    <row r="150" spans="16:16" ht="15.75" customHeight="1">
      <c r="P150" s="1"/>
    </row>
    <row r="151" spans="16:16" ht="15.75" customHeight="1">
      <c r="P151" s="1"/>
    </row>
    <row r="152" spans="16:16" ht="15.75" customHeight="1">
      <c r="P152" s="1"/>
    </row>
    <row r="153" spans="16:16" ht="15.75" customHeight="1">
      <c r="P153" s="1"/>
    </row>
    <row r="154" spans="16:16" ht="15.75" customHeight="1">
      <c r="P154" s="1"/>
    </row>
    <row r="155" spans="16:16" ht="15.75" customHeight="1">
      <c r="P155" s="1"/>
    </row>
    <row r="156" spans="16:16" ht="15.75" customHeight="1">
      <c r="P156" s="1"/>
    </row>
    <row r="157" spans="16:16" ht="15.75" customHeight="1">
      <c r="P157" s="1"/>
    </row>
    <row r="158" spans="16:16" ht="15.75" customHeight="1">
      <c r="P158" s="1"/>
    </row>
    <row r="159" spans="16:16" ht="15.75" customHeight="1">
      <c r="P159" s="1"/>
    </row>
    <row r="160" spans="16:16" ht="15.75" customHeight="1">
      <c r="P160" s="1"/>
    </row>
    <row r="161" spans="16:16" ht="15.75" customHeight="1">
      <c r="P161" s="1"/>
    </row>
    <row r="162" spans="16:16" ht="15.75" customHeight="1">
      <c r="P162" s="1"/>
    </row>
    <row r="163" spans="16:16" ht="15.75" customHeight="1">
      <c r="P163" s="1"/>
    </row>
    <row r="164" spans="16:16" ht="15.75" customHeight="1">
      <c r="P164" s="1"/>
    </row>
    <row r="165" spans="16:16" ht="15.75" customHeight="1">
      <c r="P165" s="1"/>
    </row>
    <row r="166" spans="16:16" ht="15.75" customHeight="1">
      <c r="P166" s="1"/>
    </row>
    <row r="167" spans="16:16" ht="15.75" customHeight="1">
      <c r="P167" s="1"/>
    </row>
    <row r="168" spans="16:16" ht="15.75" customHeight="1">
      <c r="P168" s="1"/>
    </row>
    <row r="169" spans="16:16" ht="15.75" customHeight="1">
      <c r="P169" s="1"/>
    </row>
    <row r="170" spans="16:16" ht="15.75" customHeight="1">
      <c r="P170" s="1"/>
    </row>
    <row r="171" spans="16:16" ht="15.75" customHeight="1">
      <c r="P171" s="1"/>
    </row>
    <row r="172" spans="16:16" ht="15.75" customHeight="1">
      <c r="P172" s="1"/>
    </row>
    <row r="173" spans="16:16" ht="15.75" customHeight="1">
      <c r="P173" s="1"/>
    </row>
    <row r="174" spans="16:16" ht="15.75" customHeight="1">
      <c r="P174" s="1"/>
    </row>
    <row r="175" spans="16:16" ht="15.75" customHeight="1">
      <c r="P175" s="1"/>
    </row>
    <row r="176" spans="16:16" ht="15.75" customHeight="1">
      <c r="P176" s="1"/>
    </row>
    <row r="177" spans="16:16" ht="15.75" customHeight="1">
      <c r="P177" s="1"/>
    </row>
    <row r="178" spans="16:16" ht="15.75" customHeight="1">
      <c r="P178" s="1"/>
    </row>
    <row r="179" spans="16:16" ht="15.75" customHeight="1">
      <c r="P179" s="1"/>
    </row>
    <row r="180" spans="16:16" ht="15.75" customHeight="1">
      <c r="P180" s="1"/>
    </row>
    <row r="181" spans="16:16" ht="15.75" customHeight="1">
      <c r="P181" s="1"/>
    </row>
    <row r="182" spans="16:16" ht="15.75" customHeight="1">
      <c r="P182" s="1"/>
    </row>
    <row r="183" spans="16:16" ht="15.75" customHeight="1">
      <c r="P183" s="1"/>
    </row>
    <row r="184" spans="16:16" ht="15.75" customHeight="1">
      <c r="P184" s="1"/>
    </row>
    <row r="185" spans="16:16" ht="15.75" customHeight="1">
      <c r="P185" s="1"/>
    </row>
    <row r="186" spans="16:16" ht="15.75" customHeight="1">
      <c r="P186" s="1"/>
    </row>
    <row r="187" spans="16:16" ht="15.75" customHeight="1">
      <c r="P187" s="1"/>
    </row>
    <row r="188" spans="16:16" ht="15.75" customHeight="1">
      <c r="P188" s="1"/>
    </row>
    <row r="189" spans="16:16" ht="15.75" customHeight="1">
      <c r="P189" s="1"/>
    </row>
    <row r="190" spans="16:16" ht="15.75" customHeight="1">
      <c r="P190" s="1"/>
    </row>
    <row r="191" spans="16:16" ht="15.75" customHeight="1">
      <c r="P191" s="1"/>
    </row>
    <row r="192" spans="16:16" ht="15.75" customHeight="1">
      <c r="P192" s="1"/>
    </row>
    <row r="193" spans="16:16" ht="15.75" customHeight="1">
      <c r="P193" s="1"/>
    </row>
    <row r="194" spans="16:16" ht="15.75" customHeight="1">
      <c r="P194" s="1"/>
    </row>
    <row r="195" spans="16:16" ht="15.75" customHeight="1">
      <c r="P195" s="1"/>
    </row>
    <row r="196" spans="16:16" ht="15.75" customHeight="1">
      <c r="P196" s="1"/>
    </row>
    <row r="197" spans="16:16" ht="15.75" customHeight="1">
      <c r="P197" s="1"/>
    </row>
    <row r="198" spans="16:16" ht="15.75" customHeight="1">
      <c r="P198" s="1"/>
    </row>
    <row r="199" spans="16:16" ht="15.75" customHeight="1">
      <c r="P199" s="1"/>
    </row>
    <row r="200" spans="16:16" ht="15.75" customHeight="1">
      <c r="P200" s="1"/>
    </row>
    <row r="201" spans="16:16" ht="15.75" customHeight="1">
      <c r="P201" s="1"/>
    </row>
    <row r="202" spans="16:16" ht="15.75" customHeight="1">
      <c r="P202" s="1"/>
    </row>
    <row r="203" spans="16:16" ht="15.75" customHeight="1">
      <c r="P203" s="1"/>
    </row>
    <row r="204" spans="16:16" ht="15.75" customHeight="1">
      <c r="P204" s="1"/>
    </row>
    <row r="205" spans="16:16" ht="15.75" customHeight="1">
      <c r="P205" s="1"/>
    </row>
    <row r="206" spans="16:16" ht="15.75" customHeight="1">
      <c r="P206" s="1"/>
    </row>
    <row r="207" spans="16:16" ht="15.75" customHeight="1">
      <c r="P207" s="1"/>
    </row>
    <row r="208" spans="16:16" ht="15.75" customHeight="1">
      <c r="P208" s="1"/>
    </row>
    <row r="209" spans="16:16" ht="15.75" customHeight="1">
      <c r="P209" s="1"/>
    </row>
    <row r="210" spans="16:16" ht="15.75" customHeight="1">
      <c r="P210" s="1"/>
    </row>
    <row r="211" spans="16:16" ht="15.75" customHeight="1">
      <c r="P211" s="1"/>
    </row>
    <row r="212" spans="16:16" ht="15.75" customHeight="1">
      <c r="P212" s="1"/>
    </row>
    <row r="213" spans="16:16" ht="15.75" customHeight="1">
      <c r="P213" s="1"/>
    </row>
    <row r="214" spans="16:16" ht="15.75" customHeight="1">
      <c r="P214" s="1"/>
    </row>
    <row r="215" spans="16:16" ht="15.75" customHeight="1">
      <c r="P215" s="1"/>
    </row>
    <row r="216" spans="16:16" ht="15.75" customHeight="1">
      <c r="P216" s="1"/>
    </row>
    <row r="217" spans="16:16" ht="15.75" customHeight="1">
      <c r="P217" s="1"/>
    </row>
    <row r="218" spans="16:16" ht="15.75" customHeight="1">
      <c r="P218" s="1"/>
    </row>
    <row r="219" spans="16:16" ht="15.75" customHeight="1">
      <c r="P219" s="1"/>
    </row>
    <row r="220" spans="16:16" ht="15.75" customHeight="1">
      <c r="P220" s="1"/>
    </row>
    <row r="221" spans="16:16" ht="15.75" customHeight="1">
      <c r="P221" s="1"/>
    </row>
    <row r="222" spans="16:16" ht="15.75" customHeight="1">
      <c r="P222" s="1"/>
    </row>
    <row r="223" spans="16:16" ht="15.75" customHeight="1">
      <c r="P223" s="1"/>
    </row>
    <row r="224" spans="16:16" ht="15.75" customHeight="1">
      <c r="P224" s="1"/>
    </row>
    <row r="225" spans="16:16" ht="15.75" customHeight="1">
      <c r="P225" s="1"/>
    </row>
    <row r="226" spans="16:16" ht="15.75" customHeight="1">
      <c r="P226" s="1"/>
    </row>
    <row r="227" spans="16:16" ht="15.75" customHeight="1">
      <c r="P227" s="1"/>
    </row>
    <row r="228" spans="16:16" ht="15.75" customHeight="1">
      <c r="P228" s="1"/>
    </row>
    <row r="229" spans="16:16" ht="15.75" customHeight="1">
      <c r="P229" s="1"/>
    </row>
    <row r="230" spans="16:16" ht="15.75" customHeight="1">
      <c r="P230" s="1"/>
    </row>
    <row r="231" spans="16:16" ht="15.75" customHeight="1">
      <c r="P231" s="1"/>
    </row>
    <row r="232" spans="16:16" ht="15.75" customHeight="1">
      <c r="P232" s="1"/>
    </row>
    <row r="233" spans="16:16" ht="15.75" customHeight="1">
      <c r="P233" s="1"/>
    </row>
    <row r="234" spans="16:16" ht="15.75" customHeight="1">
      <c r="P234" s="1"/>
    </row>
    <row r="235" spans="16:16" ht="15.75" customHeight="1">
      <c r="P235" s="1"/>
    </row>
    <row r="236" spans="16:16" ht="15.75" customHeight="1">
      <c r="P236" s="1"/>
    </row>
    <row r="237" spans="16:16" ht="15.75" customHeight="1">
      <c r="P237" s="1"/>
    </row>
    <row r="238" spans="16:16" ht="15.75" customHeight="1">
      <c r="P238" s="1"/>
    </row>
    <row r="239" spans="16:16" ht="15.75" customHeight="1">
      <c r="P239" s="1"/>
    </row>
    <row r="240" spans="16:16" ht="15.75" customHeight="1">
      <c r="P240" s="1"/>
    </row>
    <row r="241" spans="16:16" ht="15.75" customHeight="1">
      <c r="P241" s="1"/>
    </row>
    <row r="242" spans="16:16" ht="15.75" customHeight="1">
      <c r="P242" s="1"/>
    </row>
    <row r="243" spans="16:16" ht="15.75" customHeight="1">
      <c r="P243" s="1"/>
    </row>
    <row r="244" spans="16:16" ht="15.75" customHeight="1">
      <c r="P244" s="1"/>
    </row>
    <row r="245" spans="16:16" ht="15.75" customHeight="1">
      <c r="P245" s="1"/>
    </row>
    <row r="246" spans="16:16" ht="15.75" customHeight="1">
      <c r="P246" s="1"/>
    </row>
    <row r="247" spans="16:16" ht="15.75" customHeight="1">
      <c r="P247" s="1"/>
    </row>
    <row r="248" spans="16:16" ht="15.75" customHeight="1">
      <c r="P248" s="1"/>
    </row>
    <row r="249" spans="16:16" ht="15.75" customHeight="1">
      <c r="P249" s="1"/>
    </row>
    <row r="250" spans="16:16" ht="15.75" customHeight="1">
      <c r="P250" s="1"/>
    </row>
    <row r="251" spans="16:16" ht="15.75" customHeight="1">
      <c r="P251" s="1"/>
    </row>
    <row r="252" spans="16:16" ht="15.75" customHeight="1">
      <c r="P252" s="1"/>
    </row>
    <row r="253" spans="16:16" ht="15.75" customHeight="1">
      <c r="P253" s="1"/>
    </row>
    <row r="254" spans="16:16" ht="15.75" customHeight="1">
      <c r="P254" s="1"/>
    </row>
    <row r="255" spans="16:16" ht="15.75" customHeight="1">
      <c r="P255" s="1"/>
    </row>
    <row r="256" spans="16:16" ht="15.75" customHeight="1">
      <c r="P256" s="1"/>
    </row>
    <row r="257" spans="16:16" ht="15.75" customHeight="1">
      <c r="P257" s="1"/>
    </row>
    <row r="258" spans="16:16" ht="15.75" customHeight="1">
      <c r="P258" s="1"/>
    </row>
    <row r="259" spans="16:16" ht="15.75" customHeight="1">
      <c r="P259" s="1"/>
    </row>
    <row r="260" spans="16:16" ht="15.75" customHeight="1">
      <c r="P260" s="1"/>
    </row>
    <row r="261" spans="16:16" ht="15.75" customHeight="1">
      <c r="P261" s="1"/>
    </row>
    <row r="262" spans="16:16" ht="15.75" customHeight="1">
      <c r="P262" s="1"/>
    </row>
    <row r="263" spans="16:16" ht="15.75" customHeight="1">
      <c r="P263" s="1"/>
    </row>
    <row r="264" spans="16:16" ht="15.75" customHeight="1">
      <c r="P264" s="1"/>
    </row>
    <row r="265" spans="16:16" ht="15.75" customHeight="1">
      <c r="P265" s="1"/>
    </row>
    <row r="266" spans="16:16" ht="15.75" customHeight="1">
      <c r="P266" s="1"/>
    </row>
    <row r="267" spans="16:16" ht="15.75" customHeight="1">
      <c r="P267" s="1"/>
    </row>
    <row r="268" spans="16:16" ht="15.75" customHeight="1">
      <c r="P268" s="1"/>
    </row>
    <row r="269" spans="16:16" ht="15.75" customHeight="1">
      <c r="P269" s="1"/>
    </row>
    <row r="270" spans="16:16" ht="15.75" customHeight="1">
      <c r="P270" s="1"/>
    </row>
    <row r="271" spans="16:16" ht="15.75" customHeight="1">
      <c r="P271" s="1"/>
    </row>
    <row r="272" spans="16:16" ht="15.75" customHeight="1">
      <c r="P272" s="1"/>
    </row>
    <row r="273" spans="16:16" ht="15.75" customHeight="1">
      <c r="P273" s="1"/>
    </row>
    <row r="274" spans="16:16" ht="15.75" customHeight="1">
      <c r="P274" s="1"/>
    </row>
    <row r="275" spans="16:16" ht="15.75" customHeight="1">
      <c r="P275" s="1"/>
    </row>
    <row r="276" spans="16:16" ht="15.75" customHeight="1">
      <c r="P276" s="1"/>
    </row>
    <row r="277" spans="16:16" ht="15.75" customHeight="1">
      <c r="P277" s="1"/>
    </row>
    <row r="278" spans="16:16" ht="15.75" customHeight="1">
      <c r="P278" s="1"/>
    </row>
    <row r="279" spans="16:16" ht="15.75" customHeight="1">
      <c r="P279" s="1"/>
    </row>
    <row r="280" spans="16:16" ht="15.75" customHeight="1">
      <c r="P280" s="1"/>
    </row>
    <row r="281" spans="16:16" ht="15.75" customHeight="1">
      <c r="P281" s="1"/>
    </row>
    <row r="282" spans="16:16" ht="15.75" customHeight="1">
      <c r="P282" s="1"/>
    </row>
    <row r="283" spans="16:16" ht="15.75" customHeight="1">
      <c r="P283" s="1"/>
    </row>
    <row r="284" spans="16:16" ht="15.75" customHeight="1">
      <c r="P284" s="1"/>
    </row>
    <row r="285" spans="16:16" ht="15.75" customHeight="1">
      <c r="P285" s="1"/>
    </row>
    <row r="286" spans="16:16" ht="15.75" customHeight="1">
      <c r="P286" s="1"/>
    </row>
    <row r="287" spans="16:16" ht="15.75" customHeight="1">
      <c r="P287" s="1"/>
    </row>
    <row r="288" spans="16:16" ht="15.75" customHeight="1">
      <c r="P288" s="1"/>
    </row>
    <row r="289" spans="16:16" ht="15.75" customHeight="1">
      <c r="P289" s="1"/>
    </row>
    <row r="290" spans="16:16" ht="15.75" customHeight="1">
      <c r="P290" s="1"/>
    </row>
    <row r="291" spans="16:16" ht="15.75" customHeight="1">
      <c r="P291" s="1"/>
    </row>
    <row r="292" spans="16:16" ht="15.75" customHeight="1">
      <c r="P292" s="1"/>
    </row>
    <row r="293" spans="16:16" ht="15.75" customHeight="1">
      <c r="P293" s="1"/>
    </row>
    <row r="294" spans="16:16" ht="15.75" customHeight="1">
      <c r="P294" s="1"/>
    </row>
    <row r="295" spans="16:16" ht="15.75" customHeight="1">
      <c r="P295" s="1"/>
    </row>
    <row r="296" spans="16:16" ht="15.75" customHeight="1">
      <c r="P296" s="1"/>
    </row>
    <row r="297" spans="16:16" ht="15.75" customHeight="1">
      <c r="P297" s="1"/>
    </row>
    <row r="298" spans="16:16" ht="15.75" customHeight="1">
      <c r="P298" s="1"/>
    </row>
    <row r="299" spans="16:16" ht="15.75" customHeight="1">
      <c r="P299" s="1"/>
    </row>
    <row r="300" spans="16:16" ht="15.75" customHeight="1">
      <c r="P300" s="1"/>
    </row>
    <row r="301" spans="16:16" ht="15.75" customHeight="1">
      <c r="P301" s="1"/>
    </row>
    <row r="302" spans="16:16" ht="15.75" customHeight="1">
      <c r="P302" s="1"/>
    </row>
    <row r="303" spans="16:16" ht="15.75" customHeight="1">
      <c r="P303" s="1"/>
    </row>
    <row r="304" spans="16:16" ht="15.75" customHeight="1">
      <c r="P304" s="1"/>
    </row>
    <row r="305" spans="16:16" ht="15.75" customHeight="1">
      <c r="P305" s="1"/>
    </row>
    <row r="306" spans="16:16" ht="15.75" customHeight="1">
      <c r="P306" s="1"/>
    </row>
    <row r="307" spans="16:16" ht="15.75" customHeight="1">
      <c r="P307" s="1"/>
    </row>
    <row r="308" spans="16:16" ht="15.75" customHeight="1">
      <c r="P308" s="1"/>
    </row>
    <row r="309" spans="16:16" ht="15.75" customHeight="1">
      <c r="P309" s="1"/>
    </row>
    <row r="310" spans="16:16" ht="15.75" customHeight="1">
      <c r="P310" s="1"/>
    </row>
    <row r="311" spans="16:16" ht="15.75" customHeight="1">
      <c r="P311" s="1"/>
    </row>
    <row r="312" spans="16:16" ht="15.75" customHeight="1">
      <c r="P312" s="1"/>
    </row>
    <row r="313" spans="16:16" ht="15.75" customHeight="1">
      <c r="P313" s="1"/>
    </row>
    <row r="314" spans="16:16" ht="15.75" customHeight="1">
      <c r="P314" s="1"/>
    </row>
    <row r="315" spans="16:16" ht="15.75" customHeight="1">
      <c r="P315" s="1"/>
    </row>
    <row r="316" spans="16:16" ht="15.75" customHeight="1">
      <c r="P316" s="1"/>
    </row>
    <row r="317" spans="16:16" ht="15.75" customHeight="1">
      <c r="P317" s="1"/>
    </row>
    <row r="318" spans="16:16" ht="15.75" customHeight="1">
      <c r="P318" s="1"/>
    </row>
    <row r="319" spans="16:16" ht="15.75" customHeight="1">
      <c r="P319" s="1"/>
    </row>
    <row r="320" spans="16:16" ht="15.75" customHeight="1">
      <c r="P320" s="1"/>
    </row>
    <row r="321" spans="16:16" ht="15.75" customHeight="1">
      <c r="P321" s="1"/>
    </row>
    <row r="322" spans="16:16" ht="15.75" customHeight="1">
      <c r="P322" s="1"/>
    </row>
    <row r="323" spans="16:16" ht="15.75" customHeight="1">
      <c r="P323" s="1"/>
    </row>
    <row r="324" spans="16:16" ht="15.75" customHeight="1">
      <c r="P324" s="1"/>
    </row>
    <row r="325" spans="16:16" ht="15.75" customHeight="1">
      <c r="P325" s="1"/>
    </row>
    <row r="326" spans="16:16" ht="15.75" customHeight="1">
      <c r="P326" s="1"/>
    </row>
    <row r="327" spans="16:16" ht="15.75" customHeight="1">
      <c r="P327" s="1"/>
    </row>
    <row r="328" spans="16:16" ht="15.75" customHeight="1">
      <c r="P328" s="1"/>
    </row>
    <row r="329" spans="16:16" ht="15.75" customHeight="1">
      <c r="P329" s="1"/>
    </row>
    <row r="330" spans="16:16" ht="15.75" customHeight="1">
      <c r="P330" s="1"/>
    </row>
    <row r="331" spans="16:16" ht="15.75" customHeight="1">
      <c r="P331" s="1"/>
    </row>
    <row r="332" spans="16:16" ht="15.75" customHeight="1">
      <c r="P332" s="1"/>
    </row>
    <row r="333" spans="16:16" ht="15.75" customHeight="1">
      <c r="P333" s="1"/>
    </row>
    <row r="334" spans="16:16" ht="15.75" customHeight="1">
      <c r="P334" s="1"/>
    </row>
    <row r="335" spans="16:16" ht="15.75" customHeight="1">
      <c r="P335" s="1"/>
    </row>
    <row r="336" spans="16:16" ht="15.75" customHeight="1">
      <c r="P336" s="1"/>
    </row>
    <row r="337" spans="16:16" ht="15.75" customHeight="1">
      <c r="P337" s="1"/>
    </row>
    <row r="338" spans="16:16" ht="15.75" customHeight="1">
      <c r="P338" s="1"/>
    </row>
    <row r="339" spans="16:16" ht="15.75" customHeight="1">
      <c r="P339" s="1"/>
    </row>
    <row r="340" spans="16:16" ht="15.75" customHeight="1">
      <c r="P340" s="1"/>
    </row>
    <row r="341" spans="16:16" ht="15.75" customHeight="1">
      <c r="P341" s="1"/>
    </row>
    <row r="342" spans="16:16" ht="15.75" customHeight="1">
      <c r="P342" s="1"/>
    </row>
    <row r="343" spans="16:16" ht="15.75" customHeight="1">
      <c r="P343" s="1"/>
    </row>
    <row r="344" spans="16:16" ht="15.75" customHeight="1">
      <c r="P344" s="1"/>
    </row>
    <row r="345" spans="16:16" ht="15.75" customHeight="1">
      <c r="P345" s="1"/>
    </row>
    <row r="346" spans="16:16" ht="15.75" customHeight="1">
      <c r="P346" s="1"/>
    </row>
    <row r="347" spans="16:16" ht="15.75" customHeight="1">
      <c r="P347" s="1"/>
    </row>
    <row r="348" spans="16:16" ht="15.75" customHeight="1">
      <c r="P348" s="1"/>
    </row>
    <row r="349" spans="16:16" ht="15.75" customHeight="1">
      <c r="P349" s="1"/>
    </row>
    <row r="350" spans="16:16" ht="15.75" customHeight="1">
      <c r="P350" s="1"/>
    </row>
    <row r="351" spans="16:16" ht="15.75" customHeight="1">
      <c r="P351" s="1"/>
    </row>
    <row r="352" spans="16:16" ht="15.75" customHeight="1">
      <c r="P352" s="1"/>
    </row>
    <row r="353" spans="16:16" ht="15.75" customHeight="1">
      <c r="P353" s="1"/>
    </row>
    <row r="354" spans="16:16" ht="15.75" customHeight="1">
      <c r="P354" s="1"/>
    </row>
    <row r="355" spans="16:16" ht="15.75" customHeight="1">
      <c r="P355" s="1"/>
    </row>
    <row r="356" spans="16:16" ht="15.75" customHeight="1">
      <c r="P356" s="1"/>
    </row>
    <row r="357" spans="16:16" ht="15.75" customHeight="1">
      <c r="P357" s="1"/>
    </row>
    <row r="358" spans="16:16" ht="15.75" customHeight="1">
      <c r="P358" s="1"/>
    </row>
    <row r="359" spans="16:16" ht="15.75" customHeight="1">
      <c r="P359" s="1"/>
    </row>
    <row r="360" spans="16:16" ht="15.75" customHeight="1">
      <c r="P360" s="1"/>
    </row>
    <row r="361" spans="16:16" ht="15.75" customHeight="1">
      <c r="P361" s="1"/>
    </row>
    <row r="362" spans="16:16" ht="15.75" customHeight="1">
      <c r="P362" s="1"/>
    </row>
    <row r="363" spans="16:16" ht="15.75" customHeight="1">
      <c r="P363" s="1"/>
    </row>
    <row r="364" spans="16:16" ht="15.75" customHeight="1">
      <c r="P364" s="1"/>
    </row>
    <row r="365" spans="16:16" ht="15.75" customHeight="1">
      <c r="P365" s="1"/>
    </row>
    <row r="366" spans="16:16" ht="15.75" customHeight="1">
      <c r="P366" s="1"/>
    </row>
    <row r="367" spans="16:16" ht="15.75" customHeight="1">
      <c r="P367" s="1"/>
    </row>
    <row r="368" spans="16:16" ht="15.75" customHeight="1">
      <c r="P368" s="1"/>
    </row>
    <row r="369" spans="16:16" ht="15.75" customHeight="1">
      <c r="P369" s="1"/>
    </row>
    <row r="370" spans="16:16" ht="15.75" customHeight="1">
      <c r="P370" s="1"/>
    </row>
    <row r="371" spans="16:16" ht="15.75" customHeight="1">
      <c r="P371" s="1"/>
    </row>
    <row r="372" spans="16:16" ht="15.75" customHeight="1">
      <c r="P372" s="1"/>
    </row>
    <row r="373" spans="16:16" ht="15.75" customHeight="1">
      <c r="P373" s="1"/>
    </row>
    <row r="374" spans="16:16" ht="15.75" customHeight="1">
      <c r="P374" s="1"/>
    </row>
    <row r="375" spans="16:16" ht="15.75" customHeight="1">
      <c r="P375" s="1"/>
    </row>
    <row r="376" spans="16:16" ht="15.75" customHeight="1">
      <c r="P376" s="1"/>
    </row>
    <row r="377" spans="16:16" ht="15.75" customHeight="1">
      <c r="P377" s="1"/>
    </row>
    <row r="378" spans="16:16" ht="15.75" customHeight="1">
      <c r="P378" s="1"/>
    </row>
    <row r="379" spans="16:16" ht="15.75" customHeight="1">
      <c r="P379" s="1"/>
    </row>
    <row r="380" spans="16:16" ht="15.75" customHeight="1">
      <c r="P380" s="1"/>
    </row>
    <row r="381" spans="16:16" ht="15.75" customHeight="1">
      <c r="P381" s="1"/>
    </row>
    <row r="382" spans="16:16" ht="15.75" customHeight="1">
      <c r="P382" s="1"/>
    </row>
    <row r="383" spans="16:16" ht="15.75" customHeight="1">
      <c r="P383" s="1"/>
    </row>
    <row r="384" spans="16:16" ht="15.75" customHeight="1">
      <c r="P384" s="1"/>
    </row>
    <row r="385" spans="16:16" ht="15.75" customHeight="1">
      <c r="P385" s="1"/>
    </row>
    <row r="386" spans="16:16" ht="15.75" customHeight="1">
      <c r="P386" s="1"/>
    </row>
    <row r="387" spans="16:16" ht="15.75" customHeight="1">
      <c r="P387" s="1"/>
    </row>
    <row r="388" spans="16:16" ht="15.75" customHeight="1">
      <c r="P388" s="1"/>
    </row>
    <row r="389" spans="16:16" ht="15.75" customHeight="1">
      <c r="P389" s="1"/>
    </row>
    <row r="390" spans="16:16" ht="15.75" customHeight="1">
      <c r="P390" s="1"/>
    </row>
    <row r="391" spans="16:16" ht="15.75" customHeight="1">
      <c r="P391" s="1"/>
    </row>
    <row r="392" spans="16:16" ht="15.75" customHeight="1">
      <c r="P392" s="1"/>
    </row>
    <row r="393" spans="16:16" ht="15.75" customHeight="1">
      <c r="P393" s="1"/>
    </row>
    <row r="394" spans="16:16" ht="15.75" customHeight="1">
      <c r="P394" s="1"/>
    </row>
    <row r="395" spans="16:16" ht="15.75" customHeight="1">
      <c r="P395" s="1"/>
    </row>
    <row r="396" spans="16:16" ht="15.75" customHeight="1">
      <c r="P396" s="1"/>
    </row>
    <row r="397" spans="16:16" ht="15.75" customHeight="1">
      <c r="P397" s="1"/>
    </row>
    <row r="398" spans="16:16" ht="15.75" customHeight="1">
      <c r="P398" s="1"/>
    </row>
    <row r="399" spans="16:16" ht="15.75" customHeight="1">
      <c r="P399" s="1"/>
    </row>
    <row r="400" spans="16:16" ht="15.75" customHeight="1">
      <c r="P400" s="1"/>
    </row>
    <row r="401" spans="16:16" ht="15.75" customHeight="1">
      <c r="P401" s="1"/>
    </row>
    <row r="402" spans="16:16" ht="15.75" customHeight="1">
      <c r="P402" s="1"/>
    </row>
    <row r="403" spans="16:16" ht="15.75" customHeight="1">
      <c r="P403" s="1"/>
    </row>
    <row r="404" spans="16:16" ht="15.75" customHeight="1">
      <c r="P404" s="1"/>
    </row>
    <row r="405" spans="16:16" ht="15.75" customHeight="1">
      <c r="P405" s="1"/>
    </row>
    <row r="406" spans="16:16" ht="15.75" customHeight="1">
      <c r="P406" s="1"/>
    </row>
    <row r="407" spans="16:16" ht="15.75" customHeight="1">
      <c r="P407" s="1"/>
    </row>
    <row r="408" spans="16:16" ht="15.75" customHeight="1">
      <c r="P408" s="1"/>
    </row>
    <row r="409" spans="16:16" ht="15.75" customHeight="1">
      <c r="P409" s="1"/>
    </row>
    <row r="410" spans="16:16" ht="15.75" customHeight="1">
      <c r="P410" s="1"/>
    </row>
    <row r="411" spans="16:16" ht="15.75" customHeight="1">
      <c r="P411" s="1"/>
    </row>
    <row r="412" spans="16:16" ht="15.75" customHeight="1">
      <c r="P412" s="1"/>
    </row>
    <row r="413" spans="16:16" ht="15.75" customHeight="1">
      <c r="P413" s="1"/>
    </row>
    <row r="414" spans="16:16" ht="15.75" customHeight="1">
      <c r="P414" s="1"/>
    </row>
    <row r="415" spans="16:16" ht="15.75" customHeight="1">
      <c r="P415" s="1"/>
    </row>
    <row r="416" spans="16:16" ht="15.75" customHeight="1">
      <c r="P416" s="1"/>
    </row>
    <row r="417" spans="16:16" ht="15.75" customHeight="1">
      <c r="P417" s="1"/>
    </row>
    <row r="418" spans="16:16" ht="15.75" customHeight="1">
      <c r="P418" s="1"/>
    </row>
    <row r="419" spans="16:16" ht="15.75" customHeight="1">
      <c r="P419" s="1"/>
    </row>
    <row r="420" spans="16:16" ht="15.75" customHeight="1">
      <c r="P420" s="1"/>
    </row>
    <row r="421" spans="16:16" ht="15.75" customHeight="1">
      <c r="P421" s="1"/>
    </row>
    <row r="422" spans="16:16" ht="15.75" customHeight="1">
      <c r="P422" s="1"/>
    </row>
    <row r="423" spans="16:16" ht="15.75" customHeight="1">
      <c r="P423" s="1"/>
    </row>
    <row r="424" spans="16:16" ht="15.75" customHeight="1">
      <c r="P424" s="1"/>
    </row>
    <row r="425" spans="16:16" ht="15.75" customHeight="1">
      <c r="P425" s="1"/>
    </row>
    <row r="426" spans="16:16" ht="15.75" customHeight="1">
      <c r="P426" s="1"/>
    </row>
    <row r="427" spans="16:16" ht="15.75" customHeight="1">
      <c r="P427" s="1"/>
    </row>
    <row r="428" spans="16:16" ht="15.75" customHeight="1">
      <c r="P428" s="1"/>
    </row>
    <row r="429" spans="16:16" ht="15.75" customHeight="1">
      <c r="P429" s="1"/>
    </row>
    <row r="430" spans="16:16" ht="15.75" customHeight="1">
      <c r="P430" s="1"/>
    </row>
    <row r="431" spans="16:16" ht="15.75" customHeight="1">
      <c r="P431" s="1"/>
    </row>
    <row r="432" spans="16:16" ht="15.75" customHeight="1">
      <c r="P432" s="1"/>
    </row>
    <row r="433" spans="16:16" ht="15.75" customHeight="1">
      <c r="P433" s="1"/>
    </row>
    <row r="434" spans="16:16" ht="15.75" customHeight="1">
      <c r="P434" s="1"/>
    </row>
    <row r="435" spans="16:16" ht="15.75" customHeight="1">
      <c r="P435" s="1"/>
    </row>
    <row r="436" spans="16:16" ht="15.75" customHeight="1">
      <c r="P436" s="1"/>
    </row>
    <row r="437" spans="16:16" ht="15.75" customHeight="1">
      <c r="P437" s="1"/>
    </row>
    <row r="438" spans="16:16" ht="15.75" customHeight="1">
      <c r="P438" s="1"/>
    </row>
    <row r="439" spans="16:16" ht="15.75" customHeight="1">
      <c r="P439" s="1"/>
    </row>
    <row r="440" spans="16:16" ht="15.75" customHeight="1">
      <c r="P440" s="1"/>
    </row>
    <row r="441" spans="16:16" ht="15.75" customHeight="1">
      <c r="P441" s="1"/>
    </row>
    <row r="442" spans="16:16" ht="15.75" customHeight="1">
      <c r="P442" s="1"/>
    </row>
    <row r="443" spans="16:16" ht="15.75" customHeight="1">
      <c r="P443" s="1"/>
    </row>
    <row r="444" spans="16:16" ht="15.75" customHeight="1">
      <c r="P444" s="1"/>
    </row>
    <row r="445" spans="16:16" ht="15.75" customHeight="1">
      <c r="P445" s="1"/>
    </row>
    <row r="446" spans="16:16" ht="15.75" customHeight="1">
      <c r="P446" s="1"/>
    </row>
    <row r="447" spans="16:16" ht="15.75" customHeight="1">
      <c r="P447" s="1"/>
    </row>
    <row r="448" spans="16:16" ht="15.75" customHeight="1">
      <c r="P448" s="1"/>
    </row>
    <row r="449" spans="16:16" ht="15.75" customHeight="1">
      <c r="P449" s="1"/>
    </row>
    <row r="450" spans="16:16" ht="15.75" customHeight="1">
      <c r="P450" s="1"/>
    </row>
    <row r="451" spans="16:16" ht="15.75" customHeight="1">
      <c r="P451" s="1"/>
    </row>
    <row r="452" spans="16:16" ht="15.75" customHeight="1">
      <c r="P452" s="1"/>
    </row>
    <row r="453" spans="16:16" ht="15.75" customHeight="1">
      <c r="P453" s="1"/>
    </row>
    <row r="454" spans="16:16" ht="15.75" customHeight="1">
      <c r="P454" s="1"/>
    </row>
    <row r="455" spans="16:16" ht="15.75" customHeight="1">
      <c r="P455" s="1"/>
    </row>
    <row r="456" spans="16:16" ht="15.75" customHeight="1">
      <c r="P456" s="1"/>
    </row>
    <row r="457" spans="16:16" ht="15.75" customHeight="1">
      <c r="P457" s="1"/>
    </row>
    <row r="458" spans="16:16" ht="15.75" customHeight="1">
      <c r="P458" s="1"/>
    </row>
    <row r="459" spans="16:16" ht="15.75" customHeight="1">
      <c r="P459" s="1"/>
    </row>
    <row r="460" spans="16:16" ht="15.75" customHeight="1">
      <c r="P460" s="1"/>
    </row>
    <row r="461" spans="16:16" ht="15.75" customHeight="1">
      <c r="P461" s="1"/>
    </row>
    <row r="462" spans="16:16" ht="15.75" customHeight="1">
      <c r="P462" s="1"/>
    </row>
    <row r="463" spans="16:16" ht="15.75" customHeight="1">
      <c r="P463" s="1"/>
    </row>
    <row r="464" spans="16:16" ht="15.75" customHeight="1">
      <c r="P464" s="1"/>
    </row>
    <row r="465" spans="16:16" ht="15.75" customHeight="1">
      <c r="P465" s="1"/>
    </row>
    <row r="466" spans="16:16" ht="15.75" customHeight="1">
      <c r="P466" s="1"/>
    </row>
    <row r="467" spans="16:16" ht="15.75" customHeight="1">
      <c r="P467" s="1"/>
    </row>
    <row r="468" spans="16:16" ht="15.75" customHeight="1">
      <c r="P468" s="1"/>
    </row>
    <row r="469" spans="16:16" ht="15.75" customHeight="1">
      <c r="P469" s="1"/>
    </row>
    <row r="470" spans="16:16" ht="15.75" customHeight="1">
      <c r="P470" s="1"/>
    </row>
    <row r="471" spans="16:16" ht="15.75" customHeight="1">
      <c r="P471" s="1"/>
    </row>
    <row r="472" spans="16:16" ht="15.75" customHeight="1">
      <c r="P472" s="1"/>
    </row>
    <row r="473" spans="16:16" ht="15.75" customHeight="1">
      <c r="P473" s="1"/>
    </row>
    <row r="474" spans="16:16" ht="15.75" customHeight="1">
      <c r="P474" s="1"/>
    </row>
    <row r="475" spans="16:16" ht="15.75" customHeight="1">
      <c r="P475" s="1"/>
    </row>
    <row r="476" spans="16:16" ht="15.75" customHeight="1">
      <c r="P476" s="1"/>
    </row>
    <row r="477" spans="16:16" ht="15.75" customHeight="1">
      <c r="P477" s="1"/>
    </row>
    <row r="478" spans="16:16" ht="15.75" customHeight="1">
      <c r="P478" s="1"/>
    </row>
    <row r="479" spans="16:16" ht="15.75" customHeight="1">
      <c r="P479" s="1"/>
    </row>
    <row r="480" spans="16:16" ht="15.75" customHeight="1">
      <c r="P480" s="1"/>
    </row>
    <row r="481" spans="16:16" ht="15.75" customHeight="1">
      <c r="P481" s="1"/>
    </row>
    <row r="482" spans="16:16" ht="15.75" customHeight="1">
      <c r="P482" s="1"/>
    </row>
    <row r="483" spans="16:16" ht="15.75" customHeight="1">
      <c r="P483" s="1"/>
    </row>
    <row r="484" spans="16:16" ht="15.75" customHeight="1">
      <c r="P484" s="1"/>
    </row>
    <row r="485" spans="16:16" ht="15.75" customHeight="1">
      <c r="P485" s="1"/>
    </row>
    <row r="486" spans="16:16" ht="15.75" customHeight="1">
      <c r="P486" s="1"/>
    </row>
    <row r="487" spans="16:16" ht="15.75" customHeight="1">
      <c r="P487" s="1"/>
    </row>
    <row r="488" spans="16:16" ht="15.75" customHeight="1">
      <c r="P488" s="1"/>
    </row>
    <row r="489" spans="16:16" ht="15.75" customHeight="1">
      <c r="P489" s="1"/>
    </row>
    <row r="490" spans="16:16" ht="15.75" customHeight="1">
      <c r="P490" s="1"/>
    </row>
    <row r="491" spans="16:16" ht="15.75" customHeight="1">
      <c r="P491" s="1"/>
    </row>
    <row r="492" spans="16:16" ht="15.75" customHeight="1">
      <c r="P492" s="1"/>
    </row>
    <row r="493" spans="16:16" ht="15.75" customHeight="1">
      <c r="P493" s="1"/>
    </row>
    <row r="494" spans="16:16" ht="15.75" customHeight="1">
      <c r="P494" s="1"/>
    </row>
    <row r="495" spans="16:16" ht="15.75" customHeight="1">
      <c r="P495" s="1"/>
    </row>
    <row r="496" spans="16:16" ht="15.75" customHeight="1">
      <c r="P496" s="1"/>
    </row>
    <row r="497" spans="16:16" ht="15.75" customHeight="1">
      <c r="P497" s="1"/>
    </row>
    <row r="498" spans="16:16" ht="15.75" customHeight="1">
      <c r="P498" s="1"/>
    </row>
    <row r="499" spans="16:16" ht="15.75" customHeight="1">
      <c r="P499" s="1"/>
    </row>
    <row r="500" spans="16:16" ht="15.75" customHeight="1">
      <c r="P500" s="1"/>
    </row>
    <row r="501" spans="16:16" ht="15.75" customHeight="1">
      <c r="P501" s="1"/>
    </row>
    <row r="502" spans="16:16" ht="15.75" customHeight="1">
      <c r="P502" s="1"/>
    </row>
    <row r="503" spans="16:16" ht="15.75" customHeight="1">
      <c r="P503" s="1"/>
    </row>
    <row r="504" spans="16:16" ht="15.75" customHeight="1">
      <c r="P504" s="1"/>
    </row>
    <row r="505" spans="16:16" ht="15.75" customHeight="1">
      <c r="P505" s="1"/>
    </row>
    <row r="506" spans="16:16" ht="15.75" customHeight="1">
      <c r="P506" s="1"/>
    </row>
    <row r="507" spans="16:16" ht="15.75" customHeight="1">
      <c r="P507" s="1"/>
    </row>
    <row r="508" spans="16:16" ht="15.75" customHeight="1">
      <c r="P508" s="1"/>
    </row>
    <row r="509" spans="16:16" ht="15.75" customHeight="1">
      <c r="P509" s="1"/>
    </row>
    <row r="510" spans="16:16" ht="15.75" customHeight="1">
      <c r="P510" s="1"/>
    </row>
    <row r="511" spans="16:16" ht="15.75" customHeight="1">
      <c r="P511" s="1"/>
    </row>
    <row r="512" spans="16:16" ht="15.75" customHeight="1">
      <c r="P512" s="1"/>
    </row>
    <row r="513" spans="16:16" ht="15.75" customHeight="1">
      <c r="P513" s="1"/>
    </row>
    <row r="514" spans="16:16" ht="15.75" customHeight="1">
      <c r="P514" s="1"/>
    </row>
    <row r="515" spans="16:16" ht="15.75" customHeight="1">
      <c r="P515" s="1"/>
    </row>
    <row r="516" spans="16:16" ht="15.75" customHeight="1">
      <c r="P516" s="1"/>
    </row>
    <row r="517" spans="16:16" ht="15.75" customHeight="1">
      <c r="P517" s="1"/>
    </row>
    <row r="518" spans="16:16" ht="15.75" customHeight="1">
      <c r="P518" s="1"/>
    </row>
    <row r="519" spans="16:16" ht="15.75" customHeight="1">
      <c r="P519" s="1"/>
    </row>
    <row r="520" spans="16:16" ht="15.75" customHeight="1">
      <c r="P520" s="1"/>
    </row>
    <row r="521" spans="16:16" ht="15.75" customHeight="1">
      <c r="P521" s="1"/>
    </row>
    <row r="522" spans="16:16" ht="15.75" customHeight="1">
      <c r="P522" s="1"/>
    </row>
    <row r="523" spans="16:16" ht="15.75" customHeight="1">
      <c r="P523" s="1"/>
    </row>
    <row r="524" spans="16:16" ht="15.75" customHeight="1">
      <c r="P524" s="1"/>
    </row>
    <row r="525" spans="16:16" ht="15.75" customHeight="1">
      <c r="P525" s="1"/>
    </row>
    <row r="526" spans="16:16" ht="15.75" customHeight="1">
      <c r="P526" s="1"/>
    </row>
    <row r="527" spans="16:16" ht="15.75" customHeight="1">
      <c r="P527" s="1"/>
    </row>
    <row r="528" spans="16:16" ht="15.75" customHeight="1">
      <c r="P528" s="1"/>
    </row>
    <row r="529" spans="16:16" ht="15.75" customHeight="1">
      <c r="P529" s="1"/>
    </row>
    <row r="530" spans="16:16" ht="15.75" customHeight="1">
      <c r="P530" s="1"/>
    </row>
    <row r="531" spans="16:16" ht="15.75" customHeight="1">
      <c r="P531" s="1"/>
    </row>
    <row r="532" spans="16:16" ht="15.75" customHeight="1">
      <c r="P532" s="1"/>
    </row>
    <row r="533" spans="16:16" ht="15.75" customHeight="1">
      <c r="P533" s="1"/>
    </row>
    <row r="534" spans="16:16" ht="15.75" customHeight="1">
      <c r="P534" s="1"/>
    </row>
    <row r="535" spans="16:16" ht="15.75" customHeight="1">
      <c r="P535" s="1"/>
    </row>
    <row r="536" spans="16:16" ht="15.75" customHeight="1">
      <c r="P536" s="1"/>
    </row>
    <row r="537" spans="16:16" ht="15.75" customHeight="1">
      <c r="P537" s="1"/>
    </row>
    <row r="538" spans="16:16" ht="15.75" customHeight="1">
      <c r="P538" s="1"/>
    </row>
    <row r="539" spans="16:16" ht="15.75" customHeight="1">
      <c r="P539" s="1"/>
    </row>
    <row r="540" spans="16:16" ht="15.75" customHeight="1">
      <c r="P540" s="1"/>
    </row>
    <row r="541" spans="16:16" ht="15.75" customHeight="1">
      <c r="P541" s="1"/>
    </row>
    <row r="542" spans="16:16" ht="15.75" customHeight="1">
      <c r="P542" s="1"/>
    </row>
    <row r="543" spans="16:16" ht="15.75" customHeight="1">
      <c r="P543" s="1"/>
    </row>
    <row r="544" spans="16:16" ht="15.75" customHeight="1">
      <c r="P544" s="1"/>
    </row>
    <row r="545" spans="16:16" ht="15.75" customHeight="1">
      <c r="P545" s="1"/>
    </row>
    <row r="546" spans="16:16" ht="15.75" customHeight="1">
      <c r="P546" s="1"/>
    </row>
    <row r="547" spans="16:16" ht="15.75" customHeight="1">
      <c r="P547" s="1"/>
    </row>
    <row r="548" spans="16:16" ht="15.75" customHeight="1">
      <c r="P548" s="1"/>
    </row>
    <row r="549" spans="16:16" ht="15.75" customHeight="1">
      <c r="P549" s="1"/>
    </row>
    <row r="550" spans="16:16" ht="15.75" customHeight="1">
      <c r="P550" s="1"/>
    </row>
    <row r="551" spans="16:16" ht="15.75" customHeight="1">
      <c r="P551" s="1"/>
    </row>
    <row r="552" spans="16:16" ht="15.75" customHeight="1">
      <c r="P552" s="1"/>
    </row>
    <row r="553" spans="16:16" ht="15.75" customHeight="1">
      <c r="P553" s="1"/>
    </row>
    <row r="554" spans="16:16" ht="15.75" customHeight="1">
      <c r="P554" s="1"/>
    </row>
    <row r="555" spans="16:16" ht="15.75" customHeight="1">
      <c r="P555" s="1"/>
    </row>
    <row r="556" spans="16:16" ht="15.75" customHeight="1">
      <c r="P556" s="1"/>
    </row>
    <row r="557" spans="16:16" ht="15.75" customHeight="1">
      <c r="P557" s="1"/>
    </row>
    <row r="558" spans="16:16" ht="15.75" customHeight="1">
      <c r="P558" s="1"/>
    </row>
    <row r="559" spans="16:16" ht="15.75" customHeight="1">
      <c r="P559" s="1"/>
    </row>
    <row r="560" spans="16:16" ht="15.75" customHeight="1">
      <c r="P560" s="1"/>
    </row>
    <row r="561" spans="16:16" ht="15.75" customHeight="1">
      <c r="P561" s="1"/>
    </row>
    <row r="562" spans="16:16" ht="15.75" customHeight="1">
      <c r="P562" s="1"/>
    </row>
    <row r="563" spans="16:16" ht="15.75" customHeight="1">
      <c r="P563" s="1"/>
    </row>
    <row r="564" spans="16:16" ht="15.75" customHeight="1">
      <c r="P564" s="1"/>
    </row>
    <row r="565" spans="16:16" ht="15.75" customHeight="1">
      <c r="P565" s="1"/>
    </row>
    <row r="566" spans="16:16" ht="15.75" customHeight="1">
      <c r="P566" s="1"/>
    </row>
    <row r="567" spans="16:16" ht="15.75" customHeight="1">
      <c r="P567" s="1"/>
    </row>
    <row r="568" spans="16:16" ht="15.75" customHeight="1">
      <c r="P568" s="1"/>
    </row>
    <row r="569" spans="16:16" ht="15.75" customHeight="1">
      <c r="P569" s="1"/>
    </row>
    <row r="570" spans="16:16" ht="15.75" customHeight="1">
      <c r="P570" s="1"/>
    </row>
    <row r="571" spans="16:16" ht="15.75" customHeight="1">
      <c r="P571" s="1"/>
    </row>
    <row r="572" spans="16:16" ht="15.75" customHeight="1">
      <c r="P572" s="1"/>
    </row>
    <row r="573" spans="16:16" ht="15.75" customHeight="1">
      <c r="P573" s="1"/>
    </row>
    <row r="574" spans="16:16" ht="15.75" customHeight="1">
      <c r="P574" s="1"/>
    </row>
    <row r="575" spans="16:16" ht="15.75" customHeight="1">
      <c r="P575" s="1"/>
    </row>
    <row r="576" spans="16:16" ht="15.75" customHeight="1">
      <c r="P576" s="1"/>
    </row>
    <row r="577" spans="16:16" ht="15.75" customHeight="1">
      <c r="P577" s="1"/>
    </row>
    <row r="578" spans="16:16" ht="15.75" customHeight="1">
      <c r="P578" s="1"/>
    </row>
    <row r="579" spans="16:16" ht="15.75" customHeight="1">
      <c r="P579" s="1"/>
    </row>
    <row r="580" spans="16:16" ht="15.75" customHeight="1">
      <c r="P580" s="1"/>
    </row>
    <row r="581" spans="16:16" ht="15.75" customHeight="1">
      <c r="P581" s="1"/>
    </row>
    <row r="582" spans="16:16" ht="15.75" customHeight="1">
      <c r="P582" s="1"/>
    </row>
    <row r="583" spans="16:16" ht="15.75" customHeight="1">
      <c r="P583" s="1"/>
    </row>
    <row r="584" spans="16:16" ht="15.75" customHeight="1">
      <c r="P584" s="1"/>
    </row>
    <row r="585" spans="16:16" ht="15.75" customHeight="1">
      <c r="P585" s="1"/>
    </row>
    <row r="586" spans="16:16" ht="15.75" customHeight="1">
      <c r="P586" s="1"/>
    </row>
    <row r="587" spans="16:16" ht="15.75" customHeight="1">
      <c r="P587" s="1"/>
    </row>
    <row r="588" spans="16:16" ht="15.75" customHeight="1">
      <c r="P588" s="1"/>
    </row>
    <row r="589" spans="16:16" ht="15.75" customHeight="1">
      <c r="P589" s="1"/>
    </row>
    <row r="590" spans="16:16" ht="15.75" customHeight="1">
      <c r="P590" s="1"/>
    </row>
    <row r="591" spans="16:16" ht="15.75" customHeight="1">
      <c r="P591" s="1"/>
    </row>
    <row r="592" spans="16:16" ht="15.75" customHeight="1">
      <c r="P592" s="1"/>
    </row>
    <row r="593" spans="16:16" ht="15.75" customHeight="1">
      <c r="P593" s="1"/>
    </row>
    <row r="594" spans="16:16" ht="15.75" customHeight="1">
      <c r="P594" s="1"/>
    </row>
    <row r="595" spans="16:16" ht="15.75" customHeight="1">
      <c r="P595" s="1"/>
    </row>
    <row r="596" spans="16:16" ht="15.75" customHeight="1">
      <c r="P596" s="1"/>
    </row>
    <row r="597" spans="16:16" ht="15.75" customHeight="1">
      <c r="P597" s="1"/>
    </row>
    <row r="598" spans="16:16" ht="15.75" customHeight="1">
      <c r="P598" s="1"/>
    </row>
    <row r="599" spans="16:16" ht="15.75" customHeight="1">
      <c r="P599" s="1"/>
    </row>
    <row r="600" spans="16:16" ht="15.75" customHeight="1">
      <c r="P600" s="1"/>
    </row>
    <row r="601" spans="16:16" ht="15.75" customHeight="1">
      <c r="P601" s="1"/>
    </row>
    <row r="602" spans="16:16" ht="15.75" customHeight="1">
      <c r="P602" s="1"/>
    </row>
    <row r="603" spans="16:16" ht="15.75" customHeight="1">
      <c r="P603" s="1"/>
    </row>
    <row r="604" spans="16:16" ht="15.75" customHeight="1">
      <c r="P604" s="1"/>
    </row>
    <row r="605" spans="16:16" ht="15.75" customHeight="1">
      <c r="P605" s="1"/>
    </row>
    <row r="606" spans="16:16" ht="15.75" customHeight="1">
      <c r="P606" s="1"/>
    </row>
    <row r="607" spans="16:16" ht="15.75" customHeight="1">
      <c r="P607" s="1"/>
    </row>
    <row r="608" spans="16:16" ht="15.75" customHeight="1">
      <c r="P608" s="1"/>
    </row>
    <row r="609" spans="16:16" ht="15.75" customHeight="1">
      <c r="P609" s="1"/>
    </row>
    <row r="610" spans="16:16" ht="15.75" customHeight="1">
      <c r="P610" s="1"/>
    </row>
    <row r="611" spans="16:16" ht="15.75" customHeight="1">
      <c r="P611" s="1"/>
    </row>
    <row r="612" spans="16:16" ht="15.75" customHeight="1">
      <c r="P612" s="1"/>
    </row>
    <row r="613" spans="16:16" ht="15.75" customHeight="1">
      <c r="P613" s="1"/>
    </row>
    <row r="614" spans="16:16" ht="15.75" customHeight="1">
      <c r="P614" s="1"/>
    </row>
    <row r="615" spans="16:16" ht="15.75" customHeight="1">
      <c r="P615" s="1"/>
    </row>
    <row r="616" spans="16:16" ht="15.75" customHeight="1">
      <c r="P616" s="1"/>
    </row>
    <row r="617" spans="16:16" ht="15.75" customHeight="1">
      <c r="P617" s="1"/>
    </row>
    <row r="618" spans="16:16" ht="15.75" customHeight="1">
      <c r="P618" s="1"/>
    </row>
    <row r="619" spans="16:16" ht="15.75" customHeight="1">
      <c r="P619" s="1"/>
    </row>
    <row r="620" spans="16:16" ht="15.75" customHeight="1">
      <c r="P620" s="1"/>
    </row>
    <row r="621" spans="16:16" ht="15.75" customHeight="1">
      <c r="P621" s="1"/>
    </row>
    <row r="622" spans="16:16" ht="15.75" customHeight="1">
      <c r="P622" s="1"/>
    </row>
    <row r="623" spans="16:16" ht="15.75" customHeight="1">
      <c r="P623" s="1"/>
    </row>
    <row r="624" spans="16:16" ht="15.75" customHeight="1">
      <c r="P624" s="1"/>
    </row>
    <row r="625" spans="16:16" ht="15.75" customHeight="1">
      <c r="P625" s="1"/>
    </row>
    <row r="626" spans="16:16" ht="15.75" customHeight="1">
      <c r="P626" s="1"/>
    </row>
    <row r="627" spans="16:16" ht="15.75" customHeight="1">
      <c r="P627" s="1"/>
    </row>
    <row r="628" spans="16:16" ht="15.75" customHeight="1">
      <c r="P628" s="1"/>
    </row>
    <row r="629" spans="16:16" ht="15.75" customHeight="1">
      <c r="P629" s="1"/>
    </row>
    <row r="630" spans="16:16" ht="15.75" customHeight="1">
      <c r="P630" s="1"/>
    </row>
    <row r="631" spans="16:16" ht="15.75" customHeight="1">
      <c r="P631" s="1"/>
    </row>
    <row r="632" spans="16:16" ht="15.75" customHeight="1">
      <c r="P632" s="1"/>
    </row>
    <row r="633" spans="16:16" ht="15.75" customHeight="1">
      <c r="P633" s="1"/>
    </row>
    <row r="634" spans="16:16" ht="15.75" customHeight="1">
      <c r="P634" s="1"/>
    </row>
    <row r="635" spans="16:16" ht="15.75" customHeight="1">
      <c r="P635" s="1"/>
    </row>
    <row r="636" spans="16:16" ht="15.75" customHeight="1">
      <c r="P636" s="1"/>
    </row>
    <row r="637" spans="16:16" ht="15.75" customHeight="1">
      <c r="P637" s="1"/>
    </row>
    <row r="638" spans="16:16" ht="15.75" customHeight="1">
      <c r="P638" s="1"/>
    </row>
    <row r="639" spans="16:16" ht="15.75" customHeight="1">
      <c r="P639" s="1"/>
    </row>
    <row r="640" spans="16:16" ht="15.75" customHeight="1">
      <c r="P640" s="1"/>
    </row>
    <row r="641" spans="16:16" ht="15.75" customHeight="1">
      <c r="P641" s="1"/>
    </row>
    <row r="642" spans="16:16" ht="15.75" customHeight="1">
      <c r="P642" s="1"/>
    </row>
    <row r="643" spans="16:16" ht="15.75" customHeight="1">
      <c r="P643" s="1"/>
    </row>
    <row r="644" spans="16:16" ht="15.75" customHeight="1">
      <c r="P644" s="1"/>
    </row>
    <row r="645" spans="16:16" ht="15.75" customHeight="1">
      <c r="P645" s="1"/>
    </row>
    <row r="646" spans="16:16" ht="15.75" customHeight="1">
      <c r="P646" s="1"/>
    </row>
    <row r="647" spans="16:16" ht="15.75" customHeight="1">
      <c r="P647" s="1"/>
    </row>
    <row r="648" spans="16:16" ht="15.75" customHeight="1">
      <c r="P648" s="1"/>
    </row>
    <row r="649" spans="16:16" ht="15.75" customHeight="1">
      <c r="P649" s="1"/>
    </row>
    <row r="650" spans="16:16" ht="15.75" customHeight="1">
      <c r="P650" s="1"/>
    </row>
    <row r="651" spans="16:16" ht="15.75" customHeight="1">
      <c r="P651" s="1"/>
    </row>
    <row r="652" spans="16:16" ht="15.75" customHeight="1">
      <c r="P652" s="1"/>
    </row>
    <row r="653" spans="16:16" ht="15.75" customHeight="1">
      <c r="P653" s="1"/>
    </row>
    <row r="654" spans="16:16" ht="15.75" customHeight="1">
      <c r="P654" s="1"/>
    </row>
    <row r="655" spans="16:16" ht="15.75" customHeight="1">
      <c r="P655" s="1"/>
    </row>
    <row r="656" spans="16:16" ht="15.75" customHeight="1">
      <c r="P656" s="1"/>
    </row>
    <row r="657" spans="16:16" ht="15.75" customHeight="1">
      <c r="P657" s="1"/>
    </row>
    <row r="658" spans="16:16" ht="15.75" customHeight="1">
      <c r="P658" s="1"/>
    </row>
    <row r="659" spans="16:16" ht="15.75" customHeight="1">
      <c r="P659" s="1"/>
    </row>
    <row r="660" spans="16:16" ht="15.75" customHeight="1">
      <c r="P660" s="1"/>
    </row>
    <row r="661" spans="16:16" ht="15.75" customHeight="1">
      <c r="P661" s="1"/>
    </row>
    <row r="662" spans="16:16" ht="15.75" customHeight="1">
      <c r="P662" s="1"/>
    </row>
    <row r="663" spans="16:16" ht="15.75" customHeight="1">
      <c r="P663" s="1"/>
    </row>
    <row r="664" spans="16:16" ht="15.75" customHeight="1">
      <c r="P664" s="1"/>
    </row>
    <row r="665" spans="16:16" ht="15.75" customHeight="1">
      <c r="P665" s="1"/>
    </row>
    <row r="666" spans="16:16" ht="15.75" customHeight="1">
      <c r="P666" s="1"/>
    </row>
    <row r="667" spans="16:16" ht="15.75" customHeight="1">
      <c r="P667" s="1"/>
    </row>
    <row r="668" spans="16:16" ht="15.75" customHeight="1">
      <c r="P668" s="1"/>
    </row>
    <row r="669" spans="16:16" ht="15.75" customHeight="1">
      <c r="P669" s="1"/>
    </row>
    <row r="670" spans="16:16" ht="15.75" customHeight="1">
      <c r="P670" s="1"/>
    </row>
    <row r="671" spans="16:16" ht="15.75" customHeight="1">
      <c r="P671" s="1"/>
    </row>
    <row r="672" spans="16:16" ht="15.75" customHeight="1">
      <c r="P672" s="1"/>
    </row>
    <row r="673" spans="16:16" ht="15.75" customHeight="1">
      <c r="P673" s="1"/>
    </row>
    <row r="674" spans="16:16" ht="15.75" customHeight="1">
      <c r="P674" s="1"/>
    </row>
    <row r="675" spans="16:16" ht="15.75" customHeight="1">
      <c r="P675" s="1"/>
    </row>
    <row r="676" spans="16:16" ht="15.75" customHeight="1">
      <c r="P676" s="1"/>
    </row>
    <row r="677" spans="16:16" ht="15.75" customHeight="1">
      <c r="P677" s="1"/>
    </row>
    <row r="678" spans="16:16" ht="15.75" customHeight="1">
      <c r="P678" s="1"/>
    </row>
    <row r="679" spans="16:16" ht="15.75" customHeight="1">
      <c r="P679" s="1"/>
    </row>
    <row r="680" spans="16:16" ht="15.75" customHeight="1">
      <c r="P680" s="1"/>
    </row>
    <row r="681" spans="16:16" ht="15.75" customHeight="1">
      <c r="P681" s="1"/>
    </row>
    <row r="682" spans="16:16" ht="15.75" customHeight="1">
      <c r="P682" s="1"/>
    </row>
    <row r="683" spans="16:16" ht="15.75" customHeight="1">
      <c r="P683" s="1"/>
    </row>
    <row r="684" spans="16:16" ht="15.75" customHeight="1">
      <c r="P684" s="1"/>
    </row>
    <row r="685" spans="16:16" ht="15.75" customHeight="1">
      <c r="P685" s="1"/>
    </row>
    <row r="686" spans="16:16" ht="15.75" customHeight="1">
      <c r="P686" s="1"/>
    </row>
    <row r="687" spans="16:16" ht="15.75" customHeight="1">
      <c r="P687" s="1"/>
    </row>
    <row r="688" spans="16:16" ht="15.75" customHeight="1">
      <c r="P688" s="1"/>
    </row>
    <row r="689" spans="16:16" ht="15.75" customHeight="1">
      <c r="P689" s="1"/>
    </row>
    <row r="690" spans="16:16" ht="15.75" customHeight="1">
      <c r="P690" s="1"/>
    </row>
    <row r="691" spans="16:16" ht="15.75" customHeight="1">
      <c r="P691" s="1"/>
    </row>
    <row r="692" spans="16:16" ht="15.75" customHeight="1">
      <c r="P692" s="1"/>
    </row>
    <row r="693" spans="16:16" ht="15.75" customHeight="1">
      <c r="P693" s="1"/>
    </row>
    <row r="694" spans="16:16" ht="15.75" customHeight="1">
      <c r="P694" s="1"/>
    </row>
    <row r="695" spans="16:16" ht="15.75" customHeight="1">
      <c r="P695" s="1"/>
    </row>
    <row r="696" spans="16:16" ht="15.75" customHeight="1">
      <c r="P696" s="1"/>
    </row>
    <row r="697" spans="16:16" ht="15.75" customHeight="1">
      <c r="P697" s="1"/>
    </row>
    <row r="698" spans="16:16" ht="15.75" customHeight="1">
      <c r="P698" s="1"/>
    </row>
    <row r="699" spans="16:16" ht="15.75" customHeight="1">
      <c r="P699" s="1"/>
    </row>
    <row r="700" spans="16:16" ht="15.75" customHeight="1">
      <c r="P700" s="1"/>
    </row>
    <row r="701" spans="16:16" ht="15.75" customHeight="1">
      <c r="P701" s="1"/>
    </row>
    <row r="702" spans="16:16" ht="15.75" customHeight="1">
      <c r="P702" s="1"/>
    </row>
    <row r="703" spans="16:16" ht="15.75" customHeight="1">
      <c r="P703" s="1"/>
    </row>
    <row r="704" spans="16:16" ht="15.75" customHeight="1">
      <c r="P704" s="1"/>
    </row>
    <row r="705" spans="16:16" ht="15.75" customHeight="1">
      <c r="P705" s="1"/>
    </row>
    <row r="706" spans="16:16" ht="15.75" customHeight="1">
      <c r="P706" s="1"/>
    </row>
    <row r="707" spans="16:16" ht="15.75" customHeight="1">
      <c r="P707" s="1"/>
    </row>
    <row r="708" spans="16:16" ht="15.75" customHeight="1">
      <c r="P708" s="1"/>
    </row>
    <row r="709" spans="16:16" ht="15.75" customHeight="1">
      <c r="P709" s="1"/>
    </row>
    <row r="710" spans="16:16" ht="15.75" customHeight="1">
      <c r="P710" s="1"/>
    </row>
    <row r="711" spans="16:16" ht="15.75" customHeight="1">
      <c r="P711" s="1"/>
    </row>
    <row r="712" spans="16:16" ht="15.75" customHeight="1">
      <c r="P712" s="1"/>
    </row>
    <row r="713" spans="16:16" ht="15.75" customHeight="1">
      <c r="P713" s="1"/>
    </row>
    <row r="714" spans="16:16" ht="15.75" customHeight="1">
      <c r="P714" s="1"/>
    </row>
    <row r="715" spans="16:16" ht="15.75" customHeight="1">
      <c r="P715" s="1"/>
    </row>
    <row r="716" spans="16:16" ht="15.75" customHeight="1">
      <c r="P716" s="1"/>
    </row>
    <row r="717" spans="16:16" ht="15.75" customHeight="1">
      <c r="P717" s="1"/>
    </row>
    <row r="718" spans="16:16" ht="15.75" customHeight="1">
      <c r="P718" s="1"/>
    </row>
    <row r="719" spans="16:16" ht="15.75" customHeight="1">
      <c r="P719" s="1"/>
    </row>
    <row r="720" spans="16:16" ht="15.75" customHeight="1">
      <c r="P720" s="1"/>
    </row>
    <row r="721" spans="16:16" ht="15.75" customHeight="1">
      <c r="P721" s="1"/>
    </row>
    <row r="722" spans="16:16" ht="15.75" customHeight="1">
      <c r="P722" s="1"/>
    </row>
    <row r="723" spans="16:16" ht="15.75" customHeight="1">
      <c r="P723" s="1"/>
    </row>
    <row r="724" spans="16:16" ht="15.75" customHeight="1">
      <c r="P724" s="1"/>
    </row>
    <row r="725" spans="16:16" ht="15.75" customHeight="1">
      <c r="P725" s="1"/>
    </row>
    <row r="726" spans="16:16" ht="15.75" customHeight="1">
      <c r="P726" s="1"/>
    </row>
    <row r="727" spans="16:16" ht="15.75" customHeight="1">
      <c r="P727" s="1"/>
    </row>
    <row r="728" spans="16:16" ht="15.75" customHeight="1">
      <c r="P728" s="1"/>
    </row>
    <row r="729" spans="16:16" ht="15.75" customHeight="1">
      <c r="P729" s="1"/>
    </row>
    <row r="730" spans="16:16" ht="15.75" customHeight="1">
      <c r="P730" s="1"/>
    </row>
    <row r="731" spans="16:16" ht="15.75" customHeight="1">
      <c r="P731" s="1"/>
    </row>
    <row r="732" spans="16:16" ht="15.75" customHeight="1">
      <c r="P732" s="1"/>
    </row>
    <row r="733" spans="16:16" ht="15.75" customHeight="1">
      <c r="P733" s="1"/>
    </row>
    <row r="734" spans="16:16" ht="15.75" customHeight="1">
      <c r="P734" s="1"/>
    </row>
    <row r="735" spans="16:16" ht="15.75" customHeight="1">
      <c r="P735" s="1"/>
    </row>
    <row r="736" spans="16:16" ht="15.75" customHeight="1">
      <c r="P736" s="1"/>
    </row>
    <row r="737" spans="16:16" ht="15.75" customHeight="1">
      <c r="P737" s="1"/>
    </row>
    <row r="738" spans="16:16" ht="15.75" customHeight="1">
      <c r="P738" s="1"/>
    </row>
    <row r="739" spans="16:16" ht="15.75" customHeight="1">
      <c r="P739" s="1"/>
    </row>
    <row r="740" spans="16:16" ht="15.75" customHeight="1">
      <c r="P740" s="1"/>
    </row>
    <row r="741" spans="16:16" ht="15.75" customHeight="1">
      <c r="P741" s="1"/>
    </row>
    <row r="742" spans="16:16" ht="15.75" customHeight="1">
      <c r="P742" s="1"/>
    </row>
    <row r="743" spans="16:16" ht="15.75" customHeight="1">
      <c r="P743" s="1"/>
    </row>
    <row r="744" spans="16:16" ht="15.75" customHeight="1">
      <c r="P744" s="1"/>
    </row>
    <row r="745" spans="16:16" ht="15.75" customHeight="1">
      <c r="P745" s="1"/>
    </row>
    <row r="746" spans="16:16" ht="15.75" customHeight="1">
      <c r="P746" s="1"/>
    </row>
    <row r="747" spans="16:16" ht="15.75" customHeight="1">
      <c r="P747" s="1"/>
    </row>
    <row r="748" spans="16:16" ht="15.75" customHeight="1">
      <c r="P748" s="1"/>
    </row>
    <row r="749" spans="16:16" ht="15.75" customHeight="1">
      <c r="P749" s="1"/>
    </row>
    <row r="750" spans="16:16" ht="15.75" customHeight="1">
      <c r="P750" s="1"/>
    </row>
    <row r="751" spans="16:16" ht="15.75" customHeight="1">
      <c r="P751" s="1"/>
    </row>
    <row r="752" spans="16:16" ht="15.75" customHeight="1">
      <c r="P752" s="1"/>
    </row>
    <row r="753" spans="16:16" ht="15.75" customHeight="1">
      <c r="P753" s="1"/>
    </row>
    <row r="754" spans="16:16" ht="15.75" customHeight="1">
      <c r="P754" s="1"/>
    </row>
    <row r="755" spans="16:16" ht="15.75" customHeight="1">
      <c r="P755" s="1"/>
    </row>
    <row r="756" spans="16:16" ht="15.75" customHeight="1">
      <c r="P756" s="1"/>
    </row>
    <row r="757" spans="16:16" ht="15.75" customHeight="1">
      <c r="P757" s="1"/>
    </row>
    <row r="758" spans="16:16" ht="15.75" customHeight="1">
      <c r="P758" s="1"/>
    </row>
    <row r="759" spans="16:16" ht="15.75" customHeight="1">
      <c r="P759" s="1"/>
    </row>
    <row r="760" spans="16:16" ht="15.75" customHeight="1">
      <c r="P760" s="1"/>
    </row>
    <row r="761" spans="16:16" ht="15.75" customHeight="1">
      <c r="P761" s="1"/>
    </row>
    <row r="762" spans="16:16" ht="15.75" customHeight="1">
      <c r="P762" s="1"/>
    </row>
    <row r="763" spans="16:16" ht="15.75" customHeight="1">
      <c r="P763" s="1"/>
    </row>
    <row r="764" spans="16:16" ht="15.75" customHeight="1">
      <c r="P764" s="1"/>
    </row>
    <row r="765" spans="16:16" ht="15.75" customHeight="1">
      <c r="P765" s="1"/>
    </row>
    <row r="766" spans="16:16" ht="15.75" customHeight="1">
      <c r="P766" s="1"/>
    </row>
    <row r="767" spans="16:16" ht="15.75" customHeight="1">
      <c r="P767" s="1"/>
    </row>
    <row r="768" spans="16:16" ht="15.75" customHeight="1">
      <c r="P768" s="1"/>
    </row>
    <row r="769" spans="16:16" ht="15.75" customHeight="1">
      <c r="P769" s="1"/>
    </row>
    <row r="770" spans="16:16" ht="15.75" customHeight="1">
      <c r="P770" s="1"/>
    </row>
    <row r="771" spans="16:16" ht="15.75" customHeight="1">
      <c r="P771" s="1"/>
    </row>
    <row r="772" spans="16:16" ht="15.75" customHeight="1">
      <c r="P772" s="1"/>
    </row>
    <row r="773" spans="16:16" ht="15.75" customHeight="1">
      <c r="P773" s="1"/>
    </row>
    <row r="774" spans="16:16" ht="15.75" customHeight="1">
      <c r="P774" s="1"/>
    </row>
    <row r="775" spans="16:16" ht="15.75" customHeight="1">
      <c r="P775" s="1"/>
    </row>
    <row r="776" spans="16:16" ht="15.75" customHeight="1">
      <c r="P776" s="1"/>
    </row>
    <row r="777" spans="16:16" ht="15.75" customHeight="1">
      <c r="P777" s="1"/>
    </row>
    <row r="778" spans="16:16" ht="15.75" customHeight="1">
      <c r="P778" s="1"/>
    </row>
    <row r="779" spans="16:16" ht="15.75" customHeight="1">
      <c r="P779" s="1"/>
    </row>
    <row r="780" spans="16:16" ht="15.75" customHeight="1">
      <c r="P780" s="1"/>
    </row>
    <row r="781" spans="16:16" ht="15.75" customHeight="1">
      <c r="P781" s="1"/>
    </row>
    <row r="782" spans="16:16" ht="15.75" customHeight="1">
      <c r="P782" s="1"/>
    </row>
    <row r="783" spans="16:16" ht="15.75" customHeight="1">
      <c r="P783" s="1"/>
    </row>
    <row r="784" spans="16:16" ht="15.75" customHeight="1">
      <c r="P784" s="1"/>
    </row>
    <row r="785" spans="16:16" ht="15.75" customHeight="1">
      <c r="P785" s="1"/>
    </row>
    <row r="786" spans="16:16" ht="15.75" customHeight="1">
      <c r="P786" s="1"/>
    </row>
    <row r="787" spans="16:16" ht="15.75" customHeight="1">
      <c r="P787" s="1"/>
    </row>
    <row r="788" spans="16:16" ht="15.75" customHeight="1">
      <c r="P788" s="1"/>
    </row>
    <row r="789" spans="16:16" ht="15.75" customHeight="1">
      <c r="P789" s="1"/>
    </row>
    <row r="790" spans="16:16" ht="15.75" customHeight="1">
      <c r="P790" s="1"/>
    </row>
    <row r="791" spans="16:16" ht="15.75" customHeight="1">
      <c r="P791" s="1"/>
    </row>
    <row r="792" spans="16:16" ht="15.75" customHeight="1">
      <c r="P792" s="1"/>
    </row>
    <row r="793" spans="16:16" ht="15.75" customHeight="1">
      <c r="P793" s="1"/>
    </row>
    <row r="794" spans="16:16" ht="15.75" customHeight="1">
      <c r="P794" s="1"/>
    </row>
    <row r="795" spans="16:16" ht="15.75" customHeight="1">
      <c r="P795" s="1"/>
    </row>
    <row r="796" spans="16:16" ht="15.75" customHeight="1">
      <c r="P796" s="1"/>
    </row>
    <row r="797" spans="16:16" ht="15.75" customHeight="1">
      <c r="P797" s="1"/>
    </row>
    <row r="798" spans="16:16" ht="15.75" customHeight="1">
      <c r="P798" s="1"/>
    </row>
    <row r="799" spans="16:16" ht="15.75" customHeight="1">
      <c r="P799" s="1"/>
    </row>
    <row r="800" spans="16:16" ht="15.75" customHeight="1">
      <c r="P800" s="1"/>
    </row>
    <row r="801" spans="16:16" ht="15.75" customHeight="1">
      <c r="P801" s="1"/>
    </row>
    <row r="802" spans="16:16" ht="15.75" customHeight="1">
      <c r="P802" s="1"/>
    </row>
    <row r="803" spans="16:16" ht="15.75" customHeight="1">
      <c r="P803" s="1"/>
    </row>
    <row r="804" spans="16:16" ht="15.75" customHeight="1">
      <c r="P804" s="1"/>
    </row>
    <row r="805" spans="16:16" ht="15.75" customHeight="1">
      <c r="P805" s="1"/>
    </row>
    <row r="806" spans="16:16" ht="15.75" customHeight="1">
      <c r="P806" s="1"/>
    </row>
    <row r="807" spans="16:16" ht="15.75" customHeight="1">
      <c r="P807" s="1"/>
    </row>
    <row r="808" spans="16:16" ht="15.75" customHeight="1">
      <c r="P808" s="1"/>
    </row>
    <row r="809" spans="16:16" ht="15.75" customHeight="1">
      <c r="P809" s="1"/>
    </row>
    <row r="810" spans="16:16" ht="15.75" customHeight="1">
      <c r="P810" s="1"/>
    </row>
    <row r="811" spans="16:16" ht="15.75" customHeight="1">
      <c r="P811" s="1"/>
    </row>
    <row r="812" spans="16:16" ht="15.75" customHeight="1">
      <c r="P812" s="1"/>
    </row>
    <row r="813" spans="16:16" ht="15.75" customHeight="1">
      <c r="P813" s="1"/>
    </row>
    <row r="814" spans="16:16" ht="15.75" customHeight="1">
      <c r="P814" s="1"/>
    </row>
    <row r="815" spans="16:16" ht="15.75" customHeight="1">
      <c r="P815" s="1"/>
    </row>
    <row r="816" spans="16:16" ht="15.75" customHeight="1">
      <c r="P816" s="1"/>
    </row>
    <row r="817" spans="16:16" ht="15.75" customHeight="1">
      <c r="P817" s="1"/>
    </row>
    <row r="818" spans="16:16" ht="15.75" customHeight="1">
      <c r="P818" s="1"/>
    </row>
    <row r="819" spans="16:16" ht="15.75" customHeight="1">
      <c r="P819" s="1"/>
    </row>
    <row r="820" spans="16:16" ht="15.75" customHeight="1">
      <c r="P820" s="1"/>
    </row>
    <row r="821" spans="16:16" ht="15.75" customHeight="1">
      <c r="P821" s="1"/>
    </row>
    <row r="822" spans="16:16" ht="15.75" customHeight="1">
      <c r="P822" s="1"/>
    </row>
    <row r="823" spans="16:16" ht="15.75" customHeight="1">
      <c r="P823" s="1"/>
    </row>
    <row r="824" spans="16:16" ht="15.75" customHeight="1">
      <c r="P824" s="1"/>
    </row>
    <row r="825" spans="16:16" ht="15.75" customHeight="1">
      <c r="P825" s="1"/>
    </row>
    <row r="826" spans="16:16" ht="15.75" customHeight="1">
      <c r="P826" s="1"/>
    </row>
    <row r="827" spans="16:16" ht="15.75" customHeight="1">
      <c r="P827" s="1"/>
    </row>
    <row r="828" spans="16:16" ht="15.75" customHeight="1">
      <c r="P828" s="1"/>
    </row>
    <row r="829" spans="16:16" ht="15.75" customHeight="1">
      <c r="P829" s="1"/>
    </row>
    <row r="830" spans="16:16" ht="15.75" customHeight="1">
      <c r="P830" s="1"/>
    </row>
    <row r="831" spans="16:16" ht="15.75" customHeight="1">
      <c r="P831" s="1"/>
    </row>
    <row r="832" spans="16:16" ht="15.75" customHeight="1">
      <c r="P832" s="1"/>
    </row>
    <row r="833" spans="16:16" ht="15.75" customHeight="1">
      <c r="P833" s="1"/>
    </row>
    <row r="834" spans="16:16" ht="15.75" customHeight="1">
      <c r="P834" s="1"/>
    </row>
    <row r="835" spans="16:16" ht="15.75" customHeight="1">
      <c r="P835" s="1"/>
    </row>
    <row r="836" spans="16:16" ht="15.75" customHeight="1">
      <c r="P836" s="1"/>
    </row>
    <row r="837" spans="16:16" ht="15.75" customHeight="1">
      <c r="P837" s="1"/>
    </row>
    <row r="838" spans="16:16" ht="15.75" customHeight="1">
      <c r="P838" s="1"/>
    </row>
    <row r="839" spans="16:16" ht="15.75" customHeight="1">
      <c r="P839" s="1"/>
    </row>
    <row r="840" spans="16:16" ht="15.75" customHeight="1">
      <c r="P840" s="1"/>
    </row>
    <row r="841" spans="16:16" ht="15.75" customHeight="1">
      <c r="P841" s="1"/>
    </row>
    <row r="842" spans="16:16" ht="15.75" customHeight="1">
      <c r="P842" s="1"/>
    </row>
    <row r="843" spans="16:16" ht="15.75" customHeight="1">
      <c r="P843" s="1"/>
    </row>
    <row r="844" spans="16:16" ht="15.75" customHeight="1">
      <c r="P844" s="1"/>
    </row>
    <row r="845" spans="16:16" ht="15.75" customHeight="1">
      <c r="P845" s="1"/>
    </row>
    <row r="846" spans="16:16" ht="15.75" customHeight="1">
      <c r="P846" s="1"/>
    </row>
    <row r="847" spans="16:16" ht="15.75" customHeight="1">
      <c r="P847" s="1"/>
    </row>
    <row r="848" spans="16:16" ht="15.75" customHeight="1">
      <c r="P848" s="1"/>
    </row>
    <row r="849" spans="16:16" ht="15.75" customHeight="1">
      <c r="P849" s="1"/>
    </row>
    <row r="850" spans="16:16" ht="15.75" customHeight="1">
      <c r="P850" s="1"/>
    </row>
    <row r="851" spans="16:16" ht="15.75" customHeight="1">
      <c r="P851" s="1"/>
    </row>
    <row r="852" spans="16:16" ht="15.75" customHeight="1">
      <c r="P852" s="1"/>
    </row>
    <row r="853" spans="16:16" ht="15.75" customHeight="1">
      <c r="P853" s="1"/>
    </row>
    <row r="854" spans="16:16" ht="15.75" customHeight="1">
      <c r="P854" s="1"/>
    </row>
    <row r="855" spans="16:16" ht="15.75" customHeight="1">
      <c r="P855" s="1"/>
    </row>
    <row r="856" spans="16:16" ht="15.75" customHeight="1">
      <c r="P856" s="1"/>
    </row>
    <row r="857" spans="16:16" ht="15.75" customHeight="1">
      <c r="P857" s="1"/>
    </row>
    <row r="858" spans="16:16" ht="15.75" customHeight="1">
      <c r="P858" s="1"/>
    </row>
    <row r="859" spans="16:16" ht="15.75" customHeight="1">
      <c r="P859" s="1"/>
    </row>
    <row r="860" spans="16:16" ht="15.75" customHeight="1">
      <c r="P860" s="1"/>
    </row>
    <row r="861" spans="16:16" ht="15.75" customHeight="1">
      <c r="P861" s="1"/>
    </row>
    <row r="862" spans="16:16" ht="15.75" customHeight="1">
      <c r="P862" s="1"/>
    </row>
    <row r="863" spans="16:16" ht="15.75" customHeight="1">
      <c r="P863" s="1"/>
    </row>
    <row r="864" spans="16:16" ht="15.75" customHeight="1">
      <c r="P864" s="1"/>
    </row>
    <row r="865" spans="16:16" ht="15.75" customHeight="1">
      <c r="P865" s="1"/>
    </row>
    <row r="866" spans="16:16" ht="15.75" customHeight="1">
      <c r="P866" s="1"/>
    </row>
    <row r="867" spans="16:16" ht="15.75" customHeight="1">
      <c r="P867" s="1"/>
    </row>
    <row r="868" spans="16:16" ht="15.75" customHeight="1">
      <c r="P868" s="1"/>
    </row>
    <row r="869" spans="16:16" ht="15.75" customHeight="1">
      <c r="P869" s="1"/>
    </row>
    <row r="870" spans="16:16" ht="15.75" customHeight="1">
      <c r="P870" s="1"/>
    </row>
    <row r="871" spans="16:16" ht="15.75" customHeight="1">
      <c r="P871" s="1"/>
    </row>
    <row r="872" spans="16:16" ht="15.75" customHeight="1">
      <c r="P872" s="1"/>
    </row>
    <row r="873" spans="16:16" ht="15.75" customHeight="1">
      <c r="P873" s="1"/>
    </row>
    <row r="874" spans="16:16" ht="15.75" customHeight="1">
      <c r="P874" s="1"/>
    </row>
    <row r="875" spans="16:16" ht="15.75" customHeight="1">
      <c r="P875" s="1"/>
    </row>
    <row r="876" spans="16:16" ht="15.75" customHeight="1">
      <c r="P876" s="1"/>
    </row>
    <row r="877" spans="16:16" ht="15.75" customHeight="1">
      <c r="P877" s="1"/>
    </row>
    <row r="878" spans="16:16" ht="15.75" customHeight="1">
      <c r="P878" s="1"/>
    </row>
    <row r="879" spans="16:16" ht="15.75" customHeight="1">
      <c r="P879" s="1"/>
    </row>
    <row r="880" spans="16:16" ht="15.75" customHeight="1">
      <c r="P880" s="1"/>
    </row>
    <row r="881" spans="16:16" ht="15.75" customHeight="1">
      <c r="P881" s="1"/>
    </row>
    <row r="882" spans="16:16" ht="15.75" customHeight="1">
      <c r="P882" s="1"/>
    </row>
    <row r="883" spans="16:16" ht="15.75" customHeight="1">
      <c r="P883" s="1"/>
    </row>
    <row r="884" spans="16:16" ht="15.75" customHeight="1">
      <c r="P884" s="1"/>
    </row>
    <row r="885" spans="16:16" ht="15.75" customHeight="1">
      <c r="P885" s="1"/>
    </row>
    <row r="886" spans="16:16" ht="15.75" customHeight="1">
      <c r="P886" s="1"/>
    </row>
    <row r="887" spans="16:16" ht="15.75" customHeight="1">
      <c r="P887" s="1"/>
    </row>
    <row r="888" spans="16:16" ht="15.75" customHeight="1">
      <c r="P888" s="1"/>
    </row>
    <row r="889" spans="16:16" ht="15.75" customHeight="1">
      <c r="P889" s="1"/>
    </row>
    <row r="890" spans="16:16" ht="15.75" customHeight="1">
      <c r="P890" s="1"/>
    </row>
    <row r="891" spans="16:16" ht="15.75" customHeight="1">
      <c r="P891" s="1"/>
    </row>
    <row r="892" spans="16:16" ht="15.75" customHeight="1">
      <c r="P892" s="1"/>
    </row>
    <row r="893" spans="16:16" ht="15.75" customHeight="1">
      <c r="P893" s="1"/>
    </row>
    <row r="894" spans="16:16" ht="15.75" customHeight="1">
      <c r="P894" s="1"/>
    </row>
    <row r="895" spans="16:16" ht="15.75" customHeight="1">
      <c r="P895" s="1"/>
    </row>
    <row r="896" spans="16:16" ht="15.75" customHeight="1">
      <c r="P896" s="1"/>
    </row>
    <row r="897" spans="16:16" ht="15.75" customHeight="1">
      <c r="P897" s="1"/>
    </row>
    <row r="898" spans="16:16" ht="15.75" customHeight="1">
      <c r="P898" s="1"/>
    </row>
    <row r="899" spans="16:16" ht="15.75" customHeight="1">
      <c r="P899" s="1"/>
    </row>
    <row r="900" spans="16:16" ht="15.75" customHeight="1">
      <c r="P900" s="1"/>
    </row>
    <row r="901" spans="16:16" ht="15.75" customHeight="1">
      <c r="P901" s="1"/>
    </row>
    <row r="902" spans="16:16" ht="15.75" customHeight="1">
      <c r="P902" s="1"/>
    </row>
    <row r="903" spans="16:16" ht="15.75" customHeight="1">
      <c r="P903" s="1"/>
    </row>
    <row r="904" spans="16:16" ht="15.75" customHeight="1">
      <c r="P904" s="1"/>
    </row>
    <row r="905" spans="16:16" ht="15.75" customHeight="1">
      <c r="P905" s="1"/>
    </row>
    <row r="906" spans="16:16" ht="15.75" customHeight="1">
      <c r="P906" s="1"/>
    </row>
    <row r="907" spans="16:16" ht="15.75" customHeight="1">
      <c r="P907" s="1"/>
    </row>
    <row r="908" spans="16:16" ht="15.75" customHeight="1">
      <c r="P908" s="1"/>
    </row>
    <row r="909" spans="16:16" ht="15.75" customHeight="1">
      <c r="P909" s="1"/>
    </row>
    <row r="910" spans="16:16" ht="15.75" customHeight="1">
      <c r="P910" s="1"/>
    </row>
    <row r="911" spans="16:16" ht="15.75" customHeight="1">
      <c r="P911" s="1"/>
    </row>
    <row r="912" spans="16:16" ht="15.75" customHeight="1">
      <c r="P912" s="1"/>
    </row>
    <row r="913" spans="16:16" ht="15.75" customHeight="1">
      <c r="P913" s="1"/>
    </row>
    <row r="914" spans="16:16" ht="15.75" customHeight="1">
      <c r="P914" s="1"/>
    </row>
    <row r="915" spans="16:16" ht="15.75" customHeight="1">
      <c r="P915" s="1"/>
    </row>
    <row r="916" spans="16:16" ht="15.75" customHeight="1">
      <c r="P916" s="1"/>
    </row>
    <row r="917" spans="16:16" ht="15.75" customHeight="1">
      <c r="P917" s="1"/>
    </row>
    <row r="918" spans="16:16" ht="15.75" customHeight="1">
      <c r="P918" s="1"/>
    </row>
    <row r="919" spans="16:16" ht="15.75" customHeight="1">
      <c r="P919" s="1"/>
    </row>
    <row r="920" spans="16:16" ht="15.75" customHeight="1">
      <c r="P920" s="1"/>
    </row>
    <row r="921" spans="16:16" ht="15.75" customHeight="1">
      <c r="P921" s="1"/>
    </row>
    <row r="922" spans="16:16" ht="15.75" customHeight="1">
      <c r="P922" s="1"/>
    </row>
    <row r="923" spans="16:16" ht="15.75" customHeight="1">
      <c r="P923" s="1"/>
    </row>
    <row r="924" spans="16:16" ht="15.75" customHeight="1">
      <c r="P924" s="1"/>
    </row>
    <row r="925" spans="16:16" ht="15.75" customHeight="1">
      <c r="P925" s="1"/>
    </row>
    <row r="926" spans="16:16" ht="15.75" customHeight="1">
      <c r="P926" s="1"/>
    </row>
    <row r="927" spans="16:16" ht="15.75" customHeight="1">
      <c r="P927" s="1"/>
    </row>
    <row r="928" spans="16:16" ht="15.75" customHeight="1">
      <c r="P928" s="1"/>
    </row>
    <row r="929" spans="16:16" ht="15.75" customHeight="1">
      <c r="P929" s="1"/>
    </row>
    <row r="930" spans="16:16" ht="15.75" customHeight="1">
      <c r="P930" s="1"/>
    </row>
    <row r="931" spans="16:16" ht="15.75" customHeight="1">
      <c r="P931" s="1"/>
    </row>
    <row r="932" spans="16:16" ht="15.75" customHeight="1">
      <c r="P932" s="1"/>
    </row>
    <row r="933" spans="16:16" ht="15.75" customHeight="1">
      <c r="P933" s="1"/>
    </row>
    <row r="934" spans="16:16" ht="15.75" customHeight="1">
      <c r="P934" s="1"/>
    </row>
    <row r="935" spans="16:16" ht="15.75" customHeight="1">
      <c r="P935" s="1"/>
    </row>
    <row r="936" spans="16:16" ht="15.75" customHeight="1">
      <c r="P936" s="1"/>
    </row>
    <row r="937" spans="16:16" ht="15.75" customHeight="1">
      <c r="P937" s="1"/>
    </row>
    <row r="938" spans="16:16" ht="15.75" customHeight="1">
      <c r="P938" s="1"/>
    </row>
    <row r="939" spans="16:16" ht="15.75" customHeight="1">
      <c r="P939" s="1"/>
    </row>
    <row r="940" spans="16:16" ht="15.75" customHeight="1">
      <c r="P940" s="1"/>
    </row>
    <row r="941" spans="16:16" ht="15.75" customHeight="1">
      <c r="P941" s="1"/>
    </row>
    <row r="942" spans="16:16" ht="15.75" customHeight="1">
      <c r="P942" s="1"/>
    </row>
    <row r="943" spans="16:16" ht="15.75" customHeight="1">
      <c r="P943" s="1"/>
    </row>
    <row r="944" spans="16:16" ht="15.75" customHeight="1">
      <c r="P944" s="1"/>
    </row>
    <row r="945" spans="16:16" ht="15.75" customHeight="1">
      <c r="P945" s="1"/>
    </row>
    <row r="946" spans="16:16" ht="15.75" customHeight="1">
      <c r="P946" s="1"/>
    </row>
    <row r="947" spans="16:16" ht="15.75" customHeight="1">
      <c r="P947" s="1"/>
    </row>
    <row r="948" spans="16:16" ht="15.75" customHeight="1">
      <c r="P948" s="1"/>
    </row>
    <row r="949" spans="16:16" ht="15.75" customHeight="1">
      <c r="P949" s="1"/>
    </row>
    <row r="950" spans="16:16" ht="15.75" customHeight="1">
      <c r="P950" s="1"/>
    </row>
    <row r="951" spans="16:16" ht="15.75" customHeight="1">
      <c r="P951" s="1"/>
    </row>
    <row r="952" spans="16:16" ht="15.75" customHeight="1">
      <c r="P952" s="1"/>
    </row>
    <row r="953" spans="16:16" ht="15.75" customHeight="1">
      <c r="P953" s="1"/>
    </row>
    <row r="954" spans="16:16" ht="15.75" customHeight="1">
      <c r="P954" s="1"/>
    </row>
    <row r="955" spans="16:16" ht="15.75" customHeight="1">
      <c r="P955" s="1"/>
    </row>
    <row r="956" spans="16:16" ht="15.75" customHeight="1">
      <c r="P956" s="1"/>
    </row>
    <row r="957" spans="16:16" ht="15.75" customHeight="1">
      <c r="P957" s="1"/>
    </row>
    <row r="958" spans="16:16" ht="15.75" customHeight="1">
      <c r="P958" s="1"/>
    </row>
    <row r="959" spans="16:16" ht="15.75" customHeight="1">
      <c r="P959" s="1"/>
    </row>
    <row r="960" spans="16:16" ht="15.75" customHeight="1">
      <c r="P960" s="1"/>
    </row>
    <row r="961" spans="16:16" ht="15.75" customHeight="1">
      <c r="P961" s="1"/>
    </row>
    <row r="962" spans="16:16" ht="15.75" customHeight="1">
      <c r="P962" s="1"/>
    </row>
    <row r="963" spans="16:16" ht="15.75" customHeight="1">
      <c r="P963" s="1"/>
    </row>
    <row r="964" spans="16:16" ht="15.75" customHeight="1">
      <c r="P964" s="1"/>
    </row>
    <row r="965" spans="16:16" ht="15.75" customHeight="1">
      <c r="P965" s="1"/>
    </row>
    <row r="966" spans="16:16" ht="15.75" customHeight="1">
      <c r="P966" s="1"/>
    </row>
    <row r="967" spans="16:16" ht="15.75" customHeight="1">
      <c r="P967" s="1"/>
    </row>
    <row r="968" spans="16:16" ht="15.75" customHeight="1">
      <c r="P968" s="1"/>
    </row>
    <row r="969" spans="16:16" ht="15.75" customHeight="1">
      <c r="P969" s="1"/>
    </row>
    <row r="970" spans="16:16" ht="15.75" customHeight="1">
      <c r="P970" s="1"/>
    </row>
    <row r="971" spans="16:16" ht="15.75" customHeight="1">
      <c r="P971" s="1"/>
    </row>
    <row r="972" spans="16:16" ht="15.75" customHeight="1">
      <c r="P972" s="1"/>
    </row>
    <row r="973" spans="16:16" ht="15.75" customHeight="1">
      <c r="P973" s="1"/>
    </row>
    <row r="974" spans="16:16" ht="15.75" customHeight="1">
      <c r="P974" s="1"/>
    </row>
    <row r="975" spans="16:16" ht="15.75" customHeight="1">
      <c r="P975" s="1"/>
    </row>
    <row r="976" spans="16:16" ht="15.75" customHeight="1">
      <c r="P976" s="1"/>
    </row>
    <row r="977" spans="16:16" ht="15.75" customHeight="1">
      <c r="P977" s="1"/>
    </row>
    <row r="978" spans="16:16" ht="15.75" customHeight="1">
      <c r="P978" s="1"/>
    </row>
    <row r="979" spans="16:16" ht="15.75" customHeight="1">
      <c r="P979" s="1"/>
    </row>
    <row r="980" spans="16:16" ht="15.75" customHeight="1">
      <c r="P980" s="1"/>
    </row>
    <row r="981" spans="16:16" ht="15.75" customHeight="1">
      <c r="P981" s="1"/>
    </row>
    <row r="982" spans="16:16" ht="15.75" customHeight="1">
      <c r="P982" s="1"/>
    </row>
    <row r="983" spans="16:16" ht="15.75" customHeight="1">
      <c r="P983" s="1"/>
    </row>
    <row r="984" spans="16:16" ht="15.75" customHeight="1">
      <c r="P984" s="1"/>
    </row>
    <row r="985" spans="16:16" ht="15.75" customHeight="1">
      <c r="P985" s="1"/>
    </row>
    <row r="986" spans="16:16" ht="15.75" customHeight="1">
      <c r="P986" s="1"/>
    </row>
    <row r="987" spans="16:16" ht="15.75" customHeight="1">
      <c r="P987" s="1"/>
    </row>
    <row r="988" spans="16:16" ht="15.75" customHeight="1">
      <c r="P988" s="1"/>
    </row>
    <row r="989" spans="16:16" ht="15.75" customHeight="1">
      <c r="P989" s="1"/>
    </row>
    <row r="990" spans="16:16" ht="15.75" customHeight="1">
      <c r="P990" s="1"/>
    </row>
    <row r="991" spans="16:16" ht="15.75" customHeight="1">
      <c r="P991" s="1"/>
    </row>
    <row r="992" spans="16:16" ht="15.75" customHeight="1">
      <c r="P992" s="1"/>
    </row>
    <row r="993" spans="16:16" ht="15.75" customHeight="1">
      <c r="P993" s="1"/>
    </row>
    <row r="994" spans="16:16" ht="15.75" customHeight="1">
      <c r="P994" s="1"/>
    </row>
    <row r="995" spans="16:16" ht="15.75" customHeight="1">
      <c r="P995" s="1"/>
    </row>
    <row r="996" spans="16:16" ht="15.75" customHeight="1">
      <c r="P996" s="1"/>
    </row>
    <row r="997" spans="16:16" ht="15.75" customHeight="1">
      <c r="P997" s="1"/>
    </row>
    <row r="998" spans="16:16" ht="15.75" customHeight="1">
      <c r="P998" s="1"/>
    </row>
    <row r="999" spans="16:16" ht="15.75" customHeight="1">
      <c r="P999" s="1"/>
    </row>
    <row r="1000" spans="16:16" ht="15.75" customHeight="1">
      <c r="P1000" s="1"/>
    </row>
  </sheetData>
  <mergeCells count="21">
    <mergeCell ref="P4:P5"/>
    <mergeCell ref="Q4:Q5"/>
    <mergeCell ref="L3:L6"/>
    <mergeCell ref="M3:M6"/>
    <mergeCell ref="N3:N4"/>
    <mergeCell ref="I4:K4"/>
    <mergeCell ref="I5:I6"/>
    <mergeCell ref="J5:J6"/>
    <mergeCell ref="K5:K6"/>
    <mergeCell ref="A3:A6"/>
    <mergeCell ref="B3:B6"/>
    <mergeCell ref="C3:E3"/>
    <mergeCell ref="I3:K3"/>
    <mergeCell ref="C4:C6"/>
    <mergeCell ref="D4:D6"/>
    <mergeCell ref="B7:B18"/>
    <mergeCell ref="E4:E6"/>
    <mergeCell ref="F4:H4"/>
    <mergeCell ref="F5:F6"/>
    <mergeCell ref="G5:G6"/>
    <mergeCell ref="H5:H6"/>
  </mergeCells>
  <pageMargins left="0.69930555555555496" right="0.69930555555555496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B3:N1000"/>
  <sheetViews>
    <sheetView workbookViewId="0">
      <selection activeCell="C14" sqref="C14:Q16"/>
    </sheetView>
  </sheetViews>
  <sheetFormatPr defaultColWidth="14.453125" defaultRowHeight="15" customHeight="1"/>
  <cols>
    <col min="1" max="1" width="6.453125" customWidth="1"/>
    <col min="2" max="5" width="9" customWidth="1"/>
    <col min="6" max="6" width="10.7265625" customWidth="1"/>
    <col min="7" max="7" width="9.453125" customWidth="1"/>
    <col min="8" max="8" width="9.7265625" customWidth="1"/>
    <col min="9" max="9" width="10.81640625" customWidth="1"/>
    <col min="10" max="10" width="11" customWidth="1"/>
    <col min="11" max="11" width="9" customWidth="1"/>
    <col min="12" max="12" width="11.81640625" customWidth="1"/>
    <col min="13" max="18" width="9" customWidth="1"/>
  </cols>
  <sheetData>
    <row r="3" spans="2:14" ht="14.5">
      <c r="B3" s="2" t="s">
        <v>76</v>
      </c>
      <c r="C3" s="2"/>
      <c r="D3" s="222"/>
      <c r="E3" s="222"/>
      <c r="F3" s="222"/>
      <c r="G3" s="223"/>
      <c r="H3" s="222"/>
      <c r="I3" s="223"/>
      <c r="J3" s="222"/>
      <c r="K3" s="222"/>
    </row>
    <row r="4" spans="2:14" thickBot="1">
      <c r="B4" s="222"/>
      <c r="C4" s="222"/>
      <c r="D4" s="222"/>
      <c r="E4" s="222"/>
      <c r="F4" s="222"/>
      <c r="G4" s="223"/>
      <c r="H4" s="222"/>
      <c r="I4" s="223"/>
      <c r="J4" s="222"/>
      <c r="K4" s="222"/>
    </row>
    <row r="5" spans="2:14" ht="16.5" customHeight="1" thickBot="1">
      <c r="B5" s="437" t="s">
        <v>3</v>
      </c>
      <c r="C5" s="437" t="s">
        <v>17</v>
      </c>
      <c r="D5" s="438" t="s">
        <v>77</v>
      </c>
      <c r="E5" s="437" t="s">
        <v>78</v>
      </c>
      <c r="F5" s="437" t="s">
        <v>79</v>
      </c>
      <c r="G5" s="396" t="s">
        <v>80</v>
      </c>
      <c r="H5" s="436" t="s">
        <v>81</v>
      </c>
      <c r="I5" s="400"/>
      <c r="J5" s="400"/>
      <c r="K5" s="400"/>
      <c r="L5" s="400"/>
      <c r="M5" s="400"/>
      <c r="N5" s="401"/>
    </row>
    <row r="6" spans="2:14" ht="60.5" thickBot="1">
      <c r="B6" s="417"/>
      <c r="C6" s="417"/>
      <c r="D6" s="439"/>
      <c r="E6" s="417"/>
      <c r="F6" s="417"/>
      <c r="G6" s="435"/>
      <c r="H6" s="5" t="s">
        <v>82</v>
      </c>
      <c r="I6" s="144" t="s">
        <v>83</v>
      </c>
      <c r="J6" s="224" t="s">
        <v>84</v>
      </c>
      <c r="K6" s="144" t="s">
        <v>85</v>
      </c>
      <c r="L6" s="143" t="s">
        <v>86</v>
      </c>
      <c r="M6" s="144" t="s">
        <v>87</v>
      </c>
      <c r="N6" s="150" t="s">
        <v>88</v>
      </c>
    </row>
    <row r="7" spans="2:14" ht="15.5" thickTop="1" thickBot="1">
      <c r="B7" s="30">
        <v>45658</v>
      </c>
      <c r="C7" s="225">
        <v>75</v>
      </c>
      <c r="D7" s="226">
        <v>277</v>
      </c>
      <c r="E7" s="227">
        <v>138.5</v>
      </c>
      <c r="F7" s="228">
        <f t="shared" ref="F7:F18" si="0">D7/2</f>
        <v>138.5</v>
      </c>
      <c r="G7" s="229">
        <f t="shared" ref="G7:G9" si="1">F7*1000/D7</f>
        <v>500</v>
      </c>
      <c r="H7" s="230">
        <v>100</v>
      </c>
      <c r="I7" s="231">
        <f>'Electrcity Data'!M5</f>
        <v>10.388894223555889</v>
      </c>
      <c r="J7" s="232">
        <v>4</v>
      </c>
      <c r="K7" s="233">
        <v>311</v>
      </c>
      <c r="L7" s="236">
        <f t="shared" ref="L7:L18" si="2">H7*I7+J7*K7</f>
        <v>2282.889422355589</v>
      </c>
      <c r="M7" s="237">
        <f t="shared" ref="M7:M18" si="3">L7/D7</f>
        <v>8.2414780590454484</v>
      </c>
      <c r="N7" s="238">
        <f t="shared" ref="N7:N18" si="4">L7/E7</f>
        <v>16.482956118090897</v>
      </c>
    </row>
    <row r="8" spans="2:14" ht="15.5" thickTop="1" thickBot="1">
      <c r="B8" s="30">
        <v>45689</v>
      </c>
      <c r="C8" s="239">
        <v>75</v>
      </c>
      <c r="D8" s="226">
        <v>292</v>
      </c>
      <c r="E8" s="227">
        <v>146</v>
      </c>
      <c r="F8" s="228">
        <f t="shared" si="0"/>
        <v>146</v>
      </c>
      <c r="G8" s="229">
        <f t="shared" si="1"/>
        <v>500</v>
      </c>
      <c r="H8" s="240">
        <v>100</v>
      </c>
      <c r="I8" s="231">
        <f>'Electrcity Data'!M6</f>
        <v>9.1966195202423133</v>
      </c>
      <c r="J8" s="232">
        <v>4</v>
      </c>
      <c r="K8" s="233">
        <v>311</v>
      </c>
      <c r="L8" s="236">
        <f t="shared" si="2"/>
        <v>2163.6619520242311</v>
      </c>
      <c r="M8" s="237">
        <f t="shared" si="3"/>
        <v>7.4098012055624354</v>
      </c>
      <c r="N8" s="238">
        <f t="shared" si="4"/>
        <v>14.819602411124871</v>
      </c>
    </row>
    <row r="9" spans="2:14" ht="15.5" thickTop="1" thickBot="1">
      <c r="B9" s="30">
        <v>45717</v>
      </c>
      <c r="C9" s="239">
        <v>75</v>
      </c>
      <c r="D9" s="239">
        <v>299</v>
      </c>
      <c r="E9" s="227">
        <v>149.5</v>
      </c>
      <c r="F9" s="228">
        <f t="shared" si="0"/>
        <v>149.5</v>
      </c>
      <c r="G9" s="229">
        <f t="shared" si="1"/>
        <v>500</v>
      </c>
      <c r="H9" s="240">
        <v>100</v>
      </c>
      <c r="I9" s="231">
        <f>'Electrcity Data'!M7</f>
        <v>10.015294261460102</v>
      </c>
      <c r="J9" s="232">
        <v>4</v>
      </c>
      <c r="K9" s="233">
        <v>311</v>
      </c>
      <c r="L9" s="236">
        <f t="shared" si="2"/>
        <v>2245.5294261460103</v>
      </c>
      <c r="M9" s="237">
        <f t="shared" si="3"/>
        <v>7.5101318600201017</v>
      </c>
      <c r="N9" s="238">
        <f t="shared" si="4"/>
        <v>15.020263720040203</v>
      </c>
    </row>
    <row r="10" spans="2:14" thickBot="1">
      <c r="B10" s="30">
        <v>45748</v>
      </c>
      <c r="C10" s="243">
        <v>75</v>
      </c>
      <c r="D10" s="244">
        <v>304</v>
      </c>
      <c r="E10" s="227">
        <v>152</v>
      </c>
      <c r="F10" s="228">
        <f t="shared" si="0"/>
        <v>152</v>
      </c>
      <c r="G10" s="245">
        <f t="shared" ref="G10:G18" si="5">E10*100/D10</f>
        <v>50</v>
      </c>
      <c r="H10" s="234">
        <v>100</v>
      </c>
      <c r="I10" s="231">
        <f>'Electrcity Data'!M8</f>
        <v>10.736692013511703</v>
      </c>
      <c r="J10" s="232">
        <v>4</v>
      </c>
      <c r="K10" s="233">
        <v>311</v>
      </c>
      <c r="L10" s="236">
        <f t="shared" si="2"/>
        <v>2317.6692013511702</v>
      </c>
      <c r="M10" s="237">
        <f t="shared" si="3"/>
        <v>7.6239118465499018</v>
      </c>
      <c r="N10" s="238">
        <f t="shared" si="4"/>
        <v>15.247823693099804</v>
      </c>
    </row>
    <row r="11" spans="2:14" thickBot="1">
      <c r="B11" s="30">
        <v>45778</v>
      </c>
      <c r="C11" s="246">
        <v>78</v>
      </c>
      <c r="D11" s="247">
        <v>287</v>
      </c>
      <c r="E11" s="227">
        <v>143.5</v>
      </c>
      <c r="F11" s="228">
        <f t="shared" si="0"/>
        <v>143.5</v>
      </c>
      <c r="G11" s="245">
        <f t="shared" si="5"/>
        <v>50</v>
      </c>
      <c r="H11" s="234">
        <v>100</v>
      </c>
      <c r="I11" s="231">
        <f>'Electrcity Data'!M9</f>
        <v>8.4844150895465518</v>
      </c>
      <c r="J11" s="232">
        <v>4</v>
      </c>
      <c r="K11" s="233">
        <v>311</v>
      </c>
      <c r="L11" s="236">
        <f t="shared" si="2"/>
        <v>2092.4415089546551</v>
      </c>
      <c r="M11" s="237">
        <f t="shared" si="3"/>
        <v>7.2907369649987981</v>
      </c>
      <c r="N11" s="238">
        <f t="shared" si="4"/>
        <v>14.581473929997596</v>
      </c>
    </row>
    <row r="12" spans="2:14" thickBot="1">
      <c r="B12" s="30">
        <v>45809</v>
      </c>
      <c r="C12" s="246">
        <v>75</v>
      </c>
      <c r="D12" s="247">
        <v>286</v>
      </c>
      <c r="E12" s="227">
        <v>143</v>
      </c>
      <c r="F12" s="228">
        <f t="shared" si="0"/>
        <v>143</v>
      </c>
      <c r="G12" s="245">
        <f t="shared" si="5"/>
        <v>50</v>
      </c>
      <c r="H12" s="234">
        <v>100</v>
      </c>
      <c r="I12" s="231">
        <f>'Electrcity Data'!M10</f>
        <v>55.891181763647275</v>
      </c>
      <c r="J12" s="232">
        <v>4</v>
      </c>
      <c r="K12" s="233">
        <v>311</v>
      </c>
      <c r="L12" s="236">
        <f t="shared" si="2"/>
        <v>6833.1181763647273</v>
      </c>
      <c r="M12" s="237">
        <f t="shared" si="3"/>
        <v>23.892021595680866</v>
      </c>
      <c r="N12" s="238">
        <f t="shared" si="4"/>
        <v>47.784043191361732</v>
      </c>
    </row>
    <row r="13" spans="2:14" thickBot="1">
      <c r="B13" s="30">
        <v>45839</v>
      </c>
      <c r="C13" s="248">
        <v>81</v>
      </c>
      <c r="D13" s="249">
        <v>287</v>
      </c>
      <c r="E13" s="250">
        <v>144</v>
      </c>
      <c r="F13" s="228">
        <f t="shared" si="0"/>
        <v>143.5</v>
      </c>
      <c r="G13" s="245">
        <f t="shared" si="5"/>
        <v>50.174216027874564</v>
      </c>
      <c r="H13" s="234">
        <v>100</v>
      </c>
      <c r="I13" s="231">
        <f>'Electrcity Data'!M11</f>
        <v>0</v>
      </c>
      <c r="J13" s="232">
        <v>4</v>
      </c>
      <c r="K13" s="233">
        <v>311</v>
      </c>
      <c r="L13" s="236">
        <f t="shared" si="2"/>
        <v>1244</v>
      </c>
      <c r="M13" s="237">
        <f t="shared" si="3"/>
        <v>4.3344947735191637</v>
      </c>
      <c r="N13" s="238">
        <f t="shared" si="4"/>
        <v>8.6388888888888893</v>
      </c>
    </row>
    <row r="14" spans="2:14" thickBot="1">
      <c r="B14" s="30">
        <v>45870</v>
      </c>
      <c r="C14" s="248"/>
      <c r="D14" s="249"/>
      <c r="E14" s="250"/>
      <c r="F14" s="228"/>
      <c r="G14" s="245"/>
      <c r="H14" s="234"/>
      <c r="I14" s="231"/>
      <c r="J14" s="232"/>
      <c r="K14" s="233"/>
      <c r="L14" s="236"/>
      <c r="M14" s="237"/>
      <c r="N14" s="238"/>
    </row>
    <row r="15" spans="2:14" thickBot="1">
      <c r="B15" s="30">
        <v>45901</v>
      </c>
      <c r="C15" s="251"/>
      <c r="D15" s="252"/>
      <c r="E15" s="253"/>
      <c r="F15" s="228"/>
      <c r="G15" s="245"/>
      <c r="H15" s="254"/>
      <c r="I15" s="231"/>
      <c r="J15" s="255"/>
      <c r="K15" s="256"/>
      <c r="L15" s="236"/>
      <c r="M15" s="237"/>
      <c r="N15" s="238"/>
    </row>
    <row r="16" spans="2:14" thickBot="1">
      <c r="B16" s="30">
        <v>45931</v>
      </c>
      <c r="C16" s="251"/>
      <c r="D16" s="252"/>
      <c r="E16" s="253"/>
      <c r="F16" s="228"/>
      <c r="G16" s="245"/>
      <c r="H16" s="255"/>
      <c r="I16" s="231"/>
      <c r="J16" s="255"/>
      <c r="K16" s="256"/>
      <c r="L16" s="236"/>
      <c r="M16" s="237"/>
      <c r="N16" s="238"/>
    </row>
    <row r="17" spans="2:14" thickBot="1">
      <c r="B17" s="30">
        <v>45962</v>
      </c>
      <c r="C17" s="246"/>
      <c r="D17" s="257"/>
      <c r="E17" s="227"/>
      <c r="F17" s="228">
        <f t="shared" si="0"/>
        <v>0</v>
      </c>
      <c r="G17" s="245" t="e">
        <f t="shared" si="5"/>
        <v>#DIV/0!</v>
      </c>
      <c r="H17" s="258"/>
      <c r="I17" s="231">
        <v>11.5872545923958</v>
      </c>
      <c r="J17" s="241"/>
      <c r="K17" s="259"/>
      <c r="L17" s="236">
        <f t="shared" si="2"/>
        <v>0</v>
      </c>
      <c r="M17" s="237" t="e">
        <f t="shared" si="3"/>
        <v>#DIV/0!</v>
      </c>
      <c r="N17" s="238" t="e">
        <f t="shared" si="4"/>
        <v>#DIV/0!</v>
      </c>
    </row>
    <row r="18" spans="2:14" thickBot="1">
      <c r="B18" s="30">
        <v>45992</v>
      </c>
      <c r="C18" s="260"/>
      <c r="D18" s="261"/>
      <c r="E18" s="227"/>
      <c r="F18" s="228">
        <f t="shared" si="0"/>
        <v>0</v>
      </c>
      <c r="G18" s="245" t="e">
        <f t="shared" si="5"/>
        <v>#DIV/0!</v>
      </c>
      <c r="H18" s="258"/>
      <c r="I18" s="231">
        <f>'Electrcity Data'!M16</f>
        <v>0</v>
      </c>
      <c r="J18" s="241"/>
      <c r="K18" s="259"/>
      <c r="L18" s="236">
        <f t="shared" si="2"/>
        <v>0</v>
      </c>
      <c r="M18" s="237" t="e">
        <f t="shared" si="3"/>
        <v>#DIV/0!</v>
      </c>
      <c r="N18" s="238" t="e">
        <f t="shared" si="4"/>
        <v>#DIV/0!</v>
      </c>
    </row>
    <row r="19" spans="2:14" ht="27.75" customHeight="1">
      <c r="C19" s="220">
        <f t="shared" ref="C19:N19" si="6">SUM(C7:C18)</f>
        <v>534</v>
      </c>
      <c r="D19" s="220">
        <f t="shared" si="6"/>
        <v>2032</v>
      </c>
      <c r="E19" s="220">
        <f t="shared" si="6"/>
        <v>1016.5</v>
      </c>
      <c r="F19" s="220">
        <f t="shared" si="6"/>
        <v>1016</v>
      </c>
      <c r="G19" s="220" t="e">
        <f t="shared" si="6"/>
        <v>#DIV/0!</v>
      </c>
      <c r="H19" s="220">
        <f t="shared" si="6"/>
        <v>700</v>
      </c>
      <c r="I19" s="220">
        <f t="shared" si="6"/>
        <v>116.30035146435964</v>
      </c>
      <c r="J19" s="220">
        <f t="shared" si="6"/>
        <v>28</v>
      </c>
      <c r="K19" s="220">
        <f t="shared" si="6"/>
        <v>2177</v>
      </c>
      <c r="L19" s="220">
        <f t="shared" si="6"/>
        <v>19179.309687196383</v>
      </c>
      <c r="M19" s="220" t="e">
        <f t="shared" si="6"/>
        <v>#DIV/0!</v>
      </c>
      <c r="N19" s="220" t="e">
        <f t="shared" si="6"/>
        <v>#DIV/0!</v>
      </c>
    </row>
    <row r="21" spans="2:14" ht="15.75" customHeight="1">
      <c r="C21" s="262" t="s">
        <v>89</v>
      </c>
      <c r="D21" s="262"/>
      <c r="E21" s="262"/>
      <c r="F21" s="262"/>
      <c r="G21" s="262"/>
      <c r="H21" s="262"/>
      <c r="I21" s="262"/>
      <c r="J21" s="262"/>
    </row>
    <row r="22" spans="2:14" ht="15.75" customHeight="1">
      <c r="C22" s="393"/>
      <c r="D22" s="394"/>
      <c r="E22" s="394"/>
      <c r="F22" s="394"/>
      <c r="G22" s="394"/>
      <c r="H22" s="394"/>
      <c r="I22" s="394"/>
      <c r="J22" s="395"/>
    </row>
    <row r="23" spans="2:14" ht="15.75" customHeight="1"/>
    <row r="24" spans="2:14" ht="15.75" customHeight="1"/>
    <row r="25" spans="2:14" ht="15.75" customHeight="1"/>
    <row r="26" spans="2:14" ht="15.75" customHeight="1"/>
    <row r="27" spans="2:14" ht="15.75" customHeight="1"/>
    <row r="28" spans="2:14" ht="15.75" customHeight="1"/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5:G6"/>
    <mergeCell ref="H5:N5"/>
    <mergeCell ref="C22:J22"/>
    <mergeCell ref="B5:B6"/>
    <mergeCell ref="C5:C6"/>
    <mergeCell ref="D5:D6"/>
    <mergeCell ref="E5:E6"/>
    <mergeCell ref="F5:F6"/>
  </mergeCells>
  <pageMargins left="0.69930555555555496" right="0.69930555555555496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1000"/>
  <sheetViews>
    <sheetView workbookViewId="0">
      <selection activeCell="F4" sqref="F4"/>
    </sheetView>
  </sheetViews>
  <sheetFormatPr defaultColWidth="14.453125" defaultRowHeight="15" customHeight="1"/>
  <cols>
    <col min="1" max="1" width="9.08984375" customWidth="1"/>
    <col min="2" max="2" width="14.08984375" customWidth="1"/>
    <col min="3" max="3" width="16.26953125" customWidth="1"/>
    <col min="4" max="4" width="9.08984375" customWidth="1"/>
    <col min="5" max="5" width="9" customWidth="1"/>
    <col min="6" max="6" width="9.08984375" customWidth="1"/>
    <col min="7" max="7" width="12.81640625" customWidth="1"/>
    <col min="8" max="8" width="15.54296875" customWidth="1"/>
    <col min="9" max="9" width="9.08984375" customWidth="1"/>
    <col min="10" max="10" width="9" customWidth="1"/>
    <col min="11" max="11" width="21.81640625" customWidth="1"/>
    <col min="12" max="14" width="9.08984375" customWidth="1"/>
    <col min="15" max="15" width="13.54296875" customWidth="1"/>
    <col min="16" max="16" width="18.453125" customWidth="1"/>
    <col min="17" max="21" width="9.08984375" customWidth="1"/>
    <col min="22" max="22" width="12.08984375" customWidth="1"/>
    <col min="23" max="23" width="16.81640625" customWidth="1"/>
    <col min="24" max="50" width="9.08984375" customWidth="1"/>
  </cols>
  <sheetData>
    <row r="1" spans="1:50" ht="14.5">
      <c r="A1" s="222"/>
      <c r="E1" s="265"/>
      <c r="I1" s="222"/>
      <c r="J1" s="222"/>
      <c r="Q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</row>
    <row r="2" spans="1:50" ht="14.5">
      <c r="A2" s="222"/>
      <c r="B2" s="2" t="s">
        <v>90</v>
      </c>
      <c r="E2" s="265"/>
      <c r="I2" s="222"/>
      <c r="J2" s="222"/>
      <c r="Q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</row>
    <row r="3" spans="1:50" ht="14.5">
      <c r="A3" s="222"/>
      <c r="E3" s="265"/>
      <c r="I3" s="222"/>
      <c r="J3" s="222"/>
      <c r="Q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</row>
    <row r="4" spans="1:50" ht="15" customHeight="1">
      <c r="A4" s="222"/>
      <c r="B4" s="273"/>
      <c r="E4" s="265"/>
      <c r="I4" s="222"/>
      <c r="J4" s="222"/>
      <c r="K4" s="273"/>
      <c r="Q4" s="222"/>
      <c r="R4" s="273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</row>
    <row r="5" spans="1:50" ht="14.5">
      <c r="A5" s="222"/>
      <c r="C5" s="382" t="s">
        <v>91</v>
      </c>
      <c r="E5" s="265"/>
      <c r="J5" s="265"/>
      <c r="Q5" s="222"/>
      <c r="R5" s="222"/>
      <c r="U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</row>
    <row r="6" spans="1:50" ht="31.5" customHeight="1">
      <c r="A6" s="222"/>
      <c r="C6" s="383" t="s">
        <v>92</v>
      </c>
      <c r="E6" s="265"/>
      <c r="G6" s="274" t="s">
        <v>93</v>
      </c>
      <c r="J6" s="265"/>
      <c r="L6" s="265"/>
      <c r="M6" s="265"/>
      <c r="N6" s="265"/>
      <c r="O6" s="265"/>
      <c r="P6" s="265"/>
      <c r="Q6" s="222"/>
      <c r="R6" s="140"/>
      <c r="S6" s="140"/>
      <c r="T6" s="140"/>
      <c r="U6" s="140"/>
      <c r="V6" s="141"/>
      <c r="W6" s="141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</row>
    <row r="7" spans="1:50" ht="52">
      <c r="A7" s="222"/>
      <c r="C7" s="275" t="s">
        <v>3</v>
      </c>
      <c r="D7" s="276" t="s">
        <v>94</v>
      </c>
      <c r="E7" s="276" t="s">
        <v>95</v>
      </c>
      <c r="F7" s="276" t="s">
        <v>96</v>
      </c>
      <c r="G7" s="276" t="s">
        <v>97</v>
      </c>
      <c r="H7" s="276" t="s">
        <v>98</v>
      </c>
      <c r="I7" s="276" t="s">
        <v>99</v>
      </c>
      <c r="J7" s="271"/>
      <c r="L7" s="271"/>
      <c r="M7" s="271"/>
      <c r="N7" s="271"/>
      <c r="O7" s="271"/>
      <c r="P7" s="271"/>
      <c r="Q7" s="271"/>
      <c r="R7" s="271"/>
      <c r="S7" s="140"/>
      <c r="T7" s="140"/>
      <c r="U7" s="140"/>
      <c r="V7" s="140"/>
      <c r="W7" s="140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</row>
    <row r="8" spans="1:50" ht="14.5">
      <c r="A8" s="222"/>
      <c r="C8" s="196"/>
      <c r="D8" s="447" t="s">
        <v>100</v>
      </c>
      <c r="E8" s="400"/>
      <c r="F8" s="400"/>
      <c r="G8" s="401"/>
      <c r="H8" s="276" t="s">
        <v>101</v>
      </c>
      <c r="I8" s="276" t="s">
        <v>102</v>
      </c>
      <c r="J8" s="271"/>
      <c r="Q8" s="222"/>
      <c r="R8" s="277"/>
      <c r="S8" s="278"/>
      <c r="T8" s="278"/>
      <c r="U8" s="278"/>
      <c r="V8" s="278"/>
      <c r="W8" s="278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</row>
    <row r="9" spans="1:50" ht="14.5">
      <c r="A9" s="222"/>
      <c r="C9" s="279">
        <v>45658</v>
      </c>
      <c r="D9" s="280"/>
      <c r="E9" s="280"/>
      <c r="F9" s="280"/>
      <c r="G9" s="280"/>
      <c r="H9" s="280"/>
      <c r="I9" s="280"/>
      <c r="J9" s="272"/>
      <c r="Q9" s="222"/>
      <c r="R9" s="277"/>
      <c r="S9" s="278"/>
      <c r="T9" s="278"/>
      <c r="U9" s="278"/>
      <c r="V9" s="278"/>
      <c r="W9" s="278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</row>
    <row r="10" spans="1:50" ht="14.5">
      <c r="A10" s="222"/>
      <c r="C10" s="279">
        <v>45689</v>
      </c>
      <c r="D10" s="155"/>
      <c r="E10" s="155"/>
      <c r="F10" s="155"/>
      <c r="G10" s="155"/>
      <c r="H10" s="280"/>
      <c r="I10" s="155"/>
      <c r="J10" s="272"/>
      <c r="K10" s="265"/>
      <c r="Q10" s="222"/>
      <c r="R10" s="277"/>
      <c r="S10" s="278"/>
      <c r="T10" s="278"/>
      <c r="U10" s="278"/>
      <c r="V10" s="278"/>
      <c r="W10" s="278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</row>
    <row r="11" spans="1:50" ht="14.5">
      <c r="A11" s="222"/>
      <c r="C11" s="279">
        <v>45717</v>
      </c>
      <c r="D11" s="196"/>
      <c r="E11" s="196"/>
      <c r="F11" s="196"/>
      <c r="G11" s="196"/>
      <c r="H11" s="196"/>
      <c r="I11" s="196"/>
      <c r="J11" s="265"/>
      <c r="Q11" s="222"/>
      <c r="R11" s="277"/>
      <c r="S11" s="278"/>
      <c r="T11" s="278"/>
      <c r="U11" s="278"/>
      <c r="V11" s="278"/>
      <c r="W11" s="278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</row>
    <row r="12" spans="1:50" ht="14.5">
      <c r="A12" s="222"/>
      <c r="C12" s="279">
        <v>45748</v>
      </c>
      <c r="D12" s="196"/>
      <c r="E12" s="196"/>
      <c r="F12" s="196"/>
      <c r="G12" s="196"/>
      <c r="H12" s="196"/>
      <c r="I12" s="196"/>
      <c r="J12" s="265"/>
      <c r="Q12" s="222"/>
      <c r="R12" s="277"/>
      <c r="S12" s="278"/>
      <c r="T12" s="278"/>
      <c r="U12" s="278"/>
      <c r="V12" s="278"/>
      <c r="W12" s="278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</row>
    <row r="13" spans="1:50" ht="14.5">
      <c r="A13" s="222"/>
      <c r="C13" s="279">
        <v>45778</v>
      </c>
      <c r="D13" s="196"/>
      <c r="E13" s="196"/>
      <c r="F13" s="196"/>
      <c r="G13" s="196"/>
      <c r="H13" s="196"/>
      <c r="I13" s="196"/>
      <c r="J13" s="265"/>
      <c r="Q13" s="222"/>
      <c r="R13" s="277"/>
      <c r="S13" s="281"/>
      <c r="T13" s="281"/>
      <c r="U13" s="281"/>
      <c r="V13" s="281"/>
      <c r="W13" s="281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</row>
    <row r="14" spans="1:50" ht="14.5">
      <c r="A14" s="222"/>
      <c r="C14" s="279">
        <v>45809</v>
      </c>
      <c r="D14" s="282">
        <v>40.700000000000003</v>
      </c>
      <c r="E14" s="282">
        <v>13.2</v>
      </c>
      <c r="F14" s="282">
        <v>20.399999999999999</v>
      </c>
      <c r="G14" s="283"/>
      <c r="H14" s="282">
        <v>7.27</v>
      </c>
      <c r="I14" s="282">
        <v>188</v>
      </c>
      <c r="J14" s="265"/>
      <c r="Q14" s="222"/>
      <c r="R14" s="277"/>
      <c r="S14" s="281"/>
      <c r="T14" s="281"/>
      <c r="U14" s="281"/>
      <c r="V14" s="281"/>
      <c r="W14" s="281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</row>
    <row r="15" spans="1:50" ht="14.5">
      <c r="A15" s="222"/>
      <c r="C15" s="279">
        <v>45839</v>
      </c>
      <c r="D15" s="284"/>
      <c r="E15" s="284"/>
      <c r="F15" s="284"/>
      <c r="G15" s="284"/>
      <c r="H15" s="284"/>
      <c r="I15" s="284"/>
      <c r="J15" s="285"/>
      <c r="L15" s="265"/>
      <c r="M15" s="265"/>
      <c r="N15" s="265"/>
      <c r="O15" s="265"/>
      <c r="P15" s="265"/>
      <c r="Q15" s="222"/>
      <c r="R15" s="277"/>
      <c r="S15" s="281"/>
      <c r="T15" s="281"/>
      <c r="U15" s="281"/>
      <c r="V15" s="281"/>
      <c r="W15" s="281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</row>
    <row r="16" spans="1:50" ht="14.5">
      <c r="A16" s="222"/>
      <c r="C16" s="279">
        <v>45870</v>
      </c>
      <c r="D16" s="279"/>
      <c r="E16" s="279"/>
      <c r="F16" s="279"/>
      <c r="G16" s="279"/>
      <c r="H16" s="286"/>
      <c r="I16" s="286"/>
      <c r="J16" s="265"/>
      <c r="Q16" s="222"/>
      <c r="R16" s="277"/>
      <c r="S16" s="281"/>
      <c r="T16" s="281"/>
      <c r="U16" s="281"/>
      <c r="V16" s="281"/>
      <c r="W16" s="281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</row>
    <row r="17" spans="1:50" ht="14.5">
      <c r="A17" s="222"/>
      <c r="C17" s="279">
        <v>45901</v>
      </c>
      <c r="D17" s="279"/>
      <c r="E17" s="279"/>
      <c r="F17" s="279"/>
      <c r="G17" s="279"/>
      <c r="H17" s="196"/>
      <c r="I17" s="196"/>
      <c r="J17" s="265"/>
      <c r="Q17" s="222"/>
      <c r="R17" s="277"/>
      <c r="S17" s="278"/>
      <c r="T17" s="278"/>
      <c r="U17" s="278"/>
      <c r="V17" s="278"/>
      <c r="W17" s="278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</row>
    <row r="18" spans="1:50" ht="14.5">
      <c r="A18" s="222"/>
      <c r="C18" s="279">
        <v>45931</v>
      </c>
      <c r="D18" s="279"/>
      <c r="E18" s="279"/>
      <c r="F18" s="279"/>
      <c r="G18" s="279"/>
      <c r="H18" s="196"/>
      <c r="I18" s="196"/>
      <c r="J18" s="265"/>
      <c r="Q18" s="222"/>
      <c r="R18" s="277"/>
      <c r="S18" s="278"/>
      <c r="T18" s="278"/>
      <c r="U18" s="278"/>
      <c r="V18" s="278"/>
      <c r="W18" s="278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</row>
    <row r="19" spans="1:50" ht="14.5">
      <c r="A19" s="222"/>
      <c r="C19" s="287">
        <v>45962</v>
      </c>
      <c r="D19" s="287"/>
      <c r="E19" s="287"/>
      <c r="F19" s="287"/>
      <c r="G19" s="287"/>
      <c r="H19" s="283"/>
      <c r="I19" s="283"/>
      <c r="J19" s="265"/>
      <c r="Q19" s="222"/>
      <c r="R19" s="277"/>
      <c r="S19" s="281"/>
      <c r="T19" s="281"/>
      <c r="U19" s="281"/>
      <c r="V19" s="281"/>
      <c r="W19" s="281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</row>
    <row r="20" spans="1:50" ht="14.5">
      <c r="A20" s="222"/>
      <c r="C20" s="266">
        <v>45992</v>
      </c>
      <c r="D20" s="266"/>
      <c r="E20" s="266"/>
      <c r="F20" s="266"/>
      <c r="G20" s="266"/>
      <c r="H20" s="269"/>
      <c r="I20" s="269"/>
      <c r="J20" s="265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</row>
    <row r="21" spans="1:50" ht="15" customHeight="1">
      <c r="A21" s="222"/>
      <c r="D21" s="270"/>
      <c r="E21" s="270"/>
      <c r="F21" s="270"/>
      <c r="G21" s="270"/>
      <c r="J21" s="265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</row>
    <row r="22" spans="1:50" ht="15.75" customHeight="1">
      <c r="A22" s="222"/>
      <c r="C22" s="263" t="s">
        <v>103</v>
      </c>
      <c r="D22" s="270"/>
      <c r="E22" s="270"/>
      <c r="F22" s="270"/>
      <c r="G22" s="270"/>
      <c r="J22" s="265"/>
      <c r="K22" s="288" t="s">
        <v>104</v>
      </c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</row>
    <row r="23" spans="1:50" ht="15.75" customHeight="1">
      <c r="A23" s="222"/>
      <c r="C23" s="264" t="s">
        <v>92</v>
      </c>
      <c r="D23" s="270"/>
      <c r="E23" s="270"/>
      <c r="F23" s="270"/>
      <c r="G23" s="270"/>
      <c r="H23" s="274" t="s">
        <v>105</v>
      </c>
      <c r="J23" s="265"/>
      <c r="K23" s="274" t="s">
        <v>92</v>
      </c>
      <c r="O23" s="274" t="s">
        <v>105</v>
      </c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</row>
    <row r="24" spans="1:50" ht="15.75" customHeight="1">
      <c r="A24" s="222"/>
      <c r="B24" s="265"/>
      <c r="C24" s="264"/>
      <c r="D24" s="270"/>
      <c r="E24" s="270"/>
      <c r="F24" s="270"/>
      <c r="G24" s="270"/>
      <c r="H24" s="274"/>
      <c r="I24" s="265"/>
      <c r="J24" s="265"/>
      <c r="K24" s="274"/>
      <c r="L24" s="265"/>
      <c r="M24" s="265"/>
      <c r="N24" s="265"/>
      <c r="O24" s="274"/>
      <c r="P24" s="265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</row>
    <row r="25" spans="1:50" ht="15.75" customHeight="1">
      <c r="A25" s="222"/>
      <c r="C25" s="289" t="s">
        <v>3</v>
      </c>
      <c r="D25" s="290" t="s">
        <v>106</v>
      </c>
      <c r="E25" s="290" t="s">
        <v>95</v>
      </c>
      <c r="F25" s="290" t="s">
        <v>96</v>
      </c>
      <c r="G25" s="291" t="s">
        <v>97</v>
      </c>
      <c r="H25" s="290" t="s">
        <v>98</v>
      </c>
      <c r="I25" s="292" t="s">
        <v>99</v>
      </c>
      <c r="J25" s="263"/>
      <c r="K25" s="289" t="s">
        <v>3</v>
      </c>
      <c r="L25" s="290" t="s">
        <v>106</v>
      </c>
      <c r="M25" s="290" t="s">
        <v>95</v>
      </c>
      <c r="N25" s="290" t="s">
        <v>96</v>
      </c>
      <c r="O25" s="291" t="s">
        <v>97</v>
      </c>
      <c r="P25" s="290" t="s">
        <v>98</v>
      </c>
      <c r="Q25" s="292" t="s">
        <v>99</v>
      </c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</row>
    <row r="26" spans="1:50" ht="15.75" customHeight="1">
      <c r="A26" s="222"/>
      <c r="C26" s="293"/>
      <c r="D26" s="266"/>
      <c r="E26" s="266"/>
      <c r="F26" s="266"/>
      <c r="G26" s="266"/>
      <c r="H26" s="267" t="s">
        <v>101</v>
      </c>
      <c r="I26" s="294" t="s">
        <v>102</v>
      </c>
      <c r="J26" s="263"/>
      <c r="K26" s="293"/>
      <c r="L26" s="448" t="s">
        <v>100</v>
      </c>
      <c r="M26" s="407"/>
      <c r="N26" s="408"/>
      <c r="O26" s="267"/>
      <c r="P26" s="267" t="s">
        <v>101</v>
      </c>
      <c r="Q26" s="294" t="s">
        <v>102</v>
      </c>
      <c r="R26" s="265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</row>
    <row r="27" spans="1:50" ht="15.75" customHeight="1">
      <c r="A27" s="222"/>
      <c r="C27" s="295">
        <v>45658</v>
      </c>
      <c r="D27" s="31"/>
      <c r="E27" s="31"/>
      <c r="F27" s="31"/>
      <c r="G27" s="31"/>
      <c r="H27" s="31"/>
      <c r="I27" s="296"/>
      <c r="J27" s="272"/>
      <c r="K27" s="295">
        <v>45658</v>
      </c>
      <c r="L27" s="31"/>
      <c r="M27" s="31"/>
      <c r="N27" s="31"/>
      <c r="O27" s="31"/>
      <c r="P27" s="31"/>
      <c r="Q27" s="297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</row>
    <row r="28" spans="1:50" ht="15.75" customHeight="1">
      <c r="A28" s="222"/>
      <c r="C28" s="295">
        <v>45689</v>
      </c>
      <c r="D28" s="31"/>
      <c r="E28" s="31"/>
      <c r="F28" s="31"/>
      <c r="G28" s="31"/>
      <c r="H28" s="31"/>
      <c r="I28" s="296"/>
      <c r="J28" s="272"/>
      <c r="K28" s="295">
        <v>45689</v>
      </c>
      <c r="L28" s="31"/>
      <c r="M28" s="31"/>
      <c r="N28" s="31"/>
      <c r="O28" s="31"/>
      <c r="P28" s="31"/>
      <c r="Q28" s="297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</row>
    <row r="29" spans="1:50" ht="15.75" customHeight="1">
      <c r="A29" s="222"/>
      <c r="C29" s="295">
        <v>45717</v>
      </c>
      <c r="D29" s="269"/>
      <c r="E29" s="269"/>
      <c r="F29" s="269"/>
      <c r="G29" s="269"/>
      <c r="H29" s="269"/>
      <c r="I29" s="298"/>
      <c r="J29" s="265"/>
      <c r="K29" s="295">
        <v>45717</v>
      </c>
      <c r="L29" s="269"/>
      <c r="M29" s="269"/>
      <c r="N29" s="269"/>
      <c r="O29" s="269"/>
      <c r="P29" s="269"/>
      <c r="Q29" s="297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</row>
    <row r="30" spans="1:50" ht="15.75" customHeight="1">
      <c r="A30" s="222"/>
      <c r="C30" s="295">
        <v>45748</v>
      </c>
      <c r="D30" s="269"/>
      <c r="E30" s="269"/>
      <c r="F30" s="269"/>
      <c r="G30" s="269"/>
      <c r="H30" s="269"/>
      <c r="I30" s="298"/>
      <c r="J30" s="265"/>
      <c r="K30" s="295">
        <v>45748</v>
      </c>
      <c r="L30" s="269"/>
      <c r="M30" s="269"/>
      <c r="N30" s="269"/>
      <c r="O30" s="269"/>
      <c r="P30" s="269"/>
      <c r="Q30" s="297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</row>
    <row r="31" spans="1:50" ht="15.75" customHeight="1">
      <c r="A31" s="222"/>
      <c r="C31" s="295">
        <v>45778</v>
      </c>
      <c r="D31" s="269"/>
      <c r="E31" s="269"/>
      <c r="F31" s="269"/>
      <c r="G31" s="269"/>
      <c r="H31" s="269"/>
      <c r="I31" s="298"/>
      <c r="J31" s="265"/>
      <c r="K31" s="295">
        <v>45778</v>
      </c>
      <c r="L31" s="269"/>
      <c r="M31" s="269"/>
      <c r="N31" s="269"/>
      <c r="O31" s="269"/>
      <c r="P31" s="269"/>
      <c r="Q31" s="297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</row>
    <row r="32" spans="1:50" ht="15.75" customHeight="1">
      <c r="A32" s="222"/>
      <c r="C32" s="295">
        <v>45809</v>
      </c>
      <c r="D32" s="299">
        <v>27.2</v>
      </c>
      <c r="E32" s="299">
        <v>5</v>
      </c>
      <c r="F32" s="299">
        <v>10.8</v>
      </c>
      <c r="G32" s="269"/>
      <c r="H32" s="299">
        <v>7.22</v>
      </c>
      <c r="I32" s="300">
        <v>152</v>
      </c>
      <c r="J32" s="265"/>
      <c r="K32" s="295">
        <v>45809</v>
      </c>
      <c r="L32" s="269"/>
      <c r="M32" s="269"/>
      <c r="N32" s="269"/>
      <c r="O32" s="269"/>
      <c r="P32" s="269"/>
      <c r="Q32" s="297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</row>
    <row r="33" spans="1:50" ht="15.75" customHeight="1">
      <c r="A33" s="222"/>
      <c r="C33" s="295">
        <v>45839</v>
      </c>
      <c r="D33" s="284"/>
      <c r="E33" s="284"/>
      <c r="F33" s="284"/>
      <c r="G33" s="284"/>
      <c r="H33" s="284"/>
      <c r="I33" s="301"/>
      <c r="J33" s="285"/>
      <c r="K33" s="295">
        <v>45839</v>
      </c>
      <c r="L33" s="284"/>
      <c r="M33" s="284"/>
      <c r="N33" s="284"/>
      <c r="O33" s="284"/>
      <c r="P33" s="284"/>
      <c r="Q33" s="301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</row>
    <row r="34" spans="1:50" ht="15.75" customHeight="1">
      <c r="A34" s="222"/>
      <c r="C34" s="295">
        <v>45870</v>
      </c>
      <c r="D34" s="269"/>
      <c r="E34" s="269"/>
      <c r="F34" s="269"/>
      <c r="G34" s="269"/>
      <c r="H34" s="269"/>
      <c r="I34" s="298"/>
      <c r="J34" s="265"/>
      <c r="K34" s="295">
        <v>45870</v>
      </c>
      <c r="L34" s="269"/>
      <c r="M34" s="269"/>
      <c r="N34" s="269"/>
      <c r="O34" s="269"/>
      <c r="P34" s="269"/>
      <c r="Q34" s="297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</row>
    <row r="35" spans="1:50" ht="15.75" customHeight="1">
      <c r="A35" s="222"/>
      <c r="C35" s="295">
        <v>45901</v>
      </c>
      <c r="D35" s="269"/>
      <c r="E35" s="269"/>
      <c r="F35" s="269"/>
      <c r="G35" s="269"/>
      <c r="H35" s="269"/>
      <c r="I35" s="298"/>
      <c r="J35" s="265"/>
      <c r="K35" s="295">
        <v>45901</v>
      </c>
      <c r="L35" s="269"/>
      <c r="M35" s="269"/>
      <c r="N35" s="269"/>
      <c r="O35" s="269"/>
      <c r="P35" s="269"/>
      <c r="Q35" s="297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</row>
    <row r="36" spans="1:50" ht="15.75" customHeight="1">
      <c r="A36" s="222"/>
      <c r="C36" s="295">
        <v>45931</v>
      </c>
      <c r="D36" s="269"/>
      <c r="E36" s="269"/>
      <c r="F36" s="269"/>
      <c r="G36" s="269"/>
      <c r="H36" s="269"/>
      <c r="I36" s="298"/>
      <c r="J36" s="265"/>
      <c r="K36" s="295">
        <v>45931</v>
      </c>
      <c r="L36" s="269"/>
      <c r="M36" s="269"/>
      <c r="N36" s="269"/>
      <c r="O36" s="269"/>
      <c r="P36" s="269"/>
      <c r="Q36" s="297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</row>
    <row r="37" spans="1:50" ht="15.75" customHeight="1">
      <c r="A37" s="222"/>
      <c r="C37" s="295">
        <v>45962</v>
      </c>
      <c r="D37" s="269"/>
      <c r="E37" s="269"/>
      <c r="F37" s="269"/>
      <c r="G37" s="269"/>
      <c r="H37" s="269"/>
      <c r="I37" s="298"/>
      <c r="J37" s="265"/>
      <c r="K37" s="295">
        <v>45962</v>
      </c>
      <c r="L37" s="269"/>
      <c r="M37" s="269"/>
      <c r="N37" s="269"/>
      <c r="O37" s="269"/>
      <c r="P37" s="269"/>
      <c r="Q37" s="297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</row>
    <row r="38" spans="1:50" ht="15.75" customHeight="1">
      <c r="A38" s="222"/>
      <c r="C38" s="302">
        <v>45992</v>
      </c>
      <c r="D38" s="303"/>
      <c r="E38" s="303"/>
      <c r="F38" s="303"/>
      <c r="G38" s="303"/>
      <c r="H38" s="303"/>
      <c r="I38" s="304"/>
      <c r="J38" s="265"/>
      <c r="K38" s="302">
        <v>45992</v>
      </c>
      <c r="L38" s="303"/>
      <c r="M38" s="303"/>
      <c r="N38" s="303"/>
      <c r="O38" s="303"/>
      <c r="P38" s="303"/>
      <c r="Q38" s="305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</row>
    <row r="39" spans="1:50" ht="15.75" customHeight="1">
      <c r="A39" s="222"/>
      <c r="E39" s="265"/>
      <c r="I39" s="222"/>
      <c r="J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</row>
    <row r="40" spans="1:50" ht="15.75" customHeight="1">
      <c r="A40" s="222"/>
      <c r="E40" s="265"/>
      <c r="I40" s="222"/>
      <c r="J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</row>
    <row r="41" spans="1:50" ht="15.75" customHeight="1">
      <c r="A41" s="222"/>
      <c r="E41" s="265"/>
      <c r="I41" s="222"/>
      <c r="J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</row>
    <row r="42" spans="1:50" ht="15.75" customHeight="1">
      <c r="A42" s="222"/>
      <c r="B42" s="440"/>
      <c r="C42" s="441"/>
      <c r="D42" s="441"/>
      <c r="E42" s="441"/>
      <c r="F42" s="441"/>
      <c r="G42" s="441"/>
      <c r="H42" s="441"/>
      <c r="I42" s="222"/>
      <c r="J42" s="222"/>
      <c r="K42" s="440"/>
      <c r="L42" s="441"/>
      <c r="M42" s="441"/>
      <c r="N42" s="441"/>
      <c r="O42" s="441"/>
      <c r="P42" s="441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</row>
    <row r="43" spans="1:50" ht="15.75" customHeight="1">
      <c r="A43" s="222"/>
      <c r="B43" s="222"/>
      <c r="E43" s="265"/>
      <c r="G43" s="222"/>
      <c r="I43" s="222"/>
      <c r="J43" s="222"/>
      <c r="K43" s="222"/>
      <c r="O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</row>
    <row r="44" spans="1:50" ht="15.75" customHeight="1">
      <c r="A44" s="222"/>
      <c r="B44" s="275" t="s">
        <v>3</v>
      </c>
      <c r="C44" s="267" t="s">
        <v>106</v>
      </c>
      <c r="D44" s="268" t="s">
        <v>107</v>
      </c>
      <c r="E44" s="267" t="s">
        <v>95</v>
      </c>
      <c r="F44" s="267" t="s">
        <v>96</v>
      </c>
      <c r="G44" s="306" t="s">
        <v>108</v>
      </c>
      <c r="H44" s="268" t="s">
        <v>109</v>
      </c>
      <c r="I44" s="267"/>
      <c r="J44" s="267" t="s">
        <v>106</v>
      </c>
      <c r="K44" s="268" t="s">
        <v>107</v>
      </c>
      <c r="L44" s="267" t="s">
        <v>95</v>
      </c>
      <c r="M44" s="267" t="s">
        <v>96</v>
      </c>
      <c r="N44" s="306" t="s">
        <v>108</v>
      </c>
      <c r="O44" s="268" t="s">
        <v>109</v>
      </c>
      <c r="P44" s="307"/>
      <c r="Q44" s="267" t="s">
        <v>106</v>
      </c>
      <c r="R44" s="268" t="s">
        <v>107</v>
      </c>
      <c r="S44" s="267" t="s">
        <v>95</v>
      </c>
      <c r="T44" s="267" t="s">
        <v>96</v>
      </c>
      <c r="U44" s="306" t="s">
        <v>108</v>
      </c>
      <c r="V44" s="268" t="s">
        <v>109</v>
      </c>
      <c r="W44" s="267" t="s">
        <v>106</v>
      </c>
      <c r="X44" s="268" t="s">
        <v>107</v>
      </c>
      <c r="Y44" s="267" t="s">
        <v>95</v>
      </c>
      <c r="Z44" s="267" t="s">
        <v>96</v>
      </c>
      <c r="AA44" s="306" t="s">
        <v>108</v>
      </c>
      <c r="AB44" s="268" t="s">
        <v>109</v>
      </c>
      <c r="AC44" s="267" t="s">
        <v>95</v>
      </c>
      <c r="AD44" s="267" t="s">
        <v>96</v>
      </c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</row>
    <row r="45" spans="1:50" ht="15.75" customHeight="1">
      <c r="A45" s="222"/>
      <c r="B45" s="308"/>
      <c r="C45" s="449" t="s">
        <v>110</v>
      </c>
      <c r="D45" s="450"/>
      <c r="E45" s="450"/>
      <c r="F45" s="451"/>
      <c r="G45" s="309"/>
      <c r="H45" s="310"/>
      <c r="I45" s="222"/>
      <c r="J45" s="222"/>
      <c r="K45" s="311" t="s">
        <v>111</v>
      </c>
      <c r="L45" s="449"/>
      <c r="M45" s="450"/>
      <c r="N45" s="451"/>
      <c r="O45" s="309"/>
      <c r="P45" s="310"/>
      <c r="Q45" s="222"/>
      <c r="R45" s="445" t="s">
        <v>112</v>
      </c>
      <c r="S45" s="446"/>
      <c r="T45" s="446"/>
      <c r="U45" s="222"/>
      <c r="V45" s="222"/>
      <c r="W45" s="312" t="s">
        <v>113</v>
      </c>
      <c r="X45" s="222"/>
      <c r="Y45" s="222"/>
      <c r="Z45" s="222"/>
      <c r="AA45" s="222"/>
      <c r="AB45" s="445" t="s">
        <v>114</v>
      </c>
      <c r="AC45" s="446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</row>
    <row r="46" spans="1:50" ht="15.75" customHeight="1">
      <c r="A46" s="222"/>
      <c r="B46" s="279">
        <v>45658</v>
      </c>
      <c r="C46" s="313"/>
      <c r="D46" s="313"/>
      <c r="E46" s="313"/>
      <c r="F46" s="313"/>
      <c r="G46" s="313"/>
      <c r="H46" s="235"/>
      <c r="I46" s="222"/>
      <c r="J46" s="222"/>
      <c r="K46" s="30"/>
      <c r="L46" s="313"/>
      <c r="M46" s="313"/>
      <c r="N46" s="313"/>
      <c r="O46" s="313"/>
      <c r="P46" s="235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</row>
    <row r="47" spans="1:50" ht="15.75" customHeight="1">
      <c r="A47" s="222"/>
      <c r="B47" s="279">
        <v>45689</v>
      </c>
      <c r="C47" s="314"/>
      <c r="D47" s="314"/>
      <c r="E47" s="314"/>
      <c r="F47" s="314"/>
      <c r="G47" s="314"/>
      <c r="H47" s="242"/>
      <c r="I47" s="222"/>
      <c r="J47" s="222"/>
      <c r="K47" s="30"/>
      <c r="L47" s="314"/>
      <c r="M47" s="314"/>
      <c r="N47" s="314"/>
      <c r="O47" s="314"/>
      <c r="P47" s="24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</row>
    <row r="48" spans="1:50" ht="15.75" customHeight="1">
      <c r="A48" s="222"/>
      <c r="B48" s="279">
        <v>45717</v>
      </c>
      <c r="C48" s="314"/>
      <c r="D48" s="314"/>
      <c r="E48" s="314"/>
      <c r="F48" s="314"/>
      <c r="G48" s="314"/>
      <c r="H48" s="242"/>
      <c r="I48" s="222"/>
      <c r="J48" s="222"/>
      <c r="K48" s="30"/>
      <c r="L48" s="314"/>
      <c r="M48" s="314"/>
      <c r="N48" s="314"/>
      <c r="O48" s="314"/>
      <c r="P48" s="24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</row>
    <row r="49" spans="1:50" ht="15.75" customHeight="1">
      <c r="A49" s="222"/>
      <c r="B49" s="279">
        <v>45748</v>
      </c>
      <c r="C49" s="314"/>
      <c r="D49" s="314"/>
      <c r="E49" s="314"/>
      <c r="F49" s="314"/>
      <c r="G49" s="314"/>
      <c r="H49" s="242"/>
      <c r="I49" s="222"/>
      <c r="J49" s="222"/>
      <c r="K49" s="30"/>
      <c r="L49" s="314"/>
      <c r="M49" s="314"/>
      <c r="N49" s="314"/>
      <c r="O49" s="314"/>
      <c r="P49" s="24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</row>
    <row r="50" spans="1:50" ht="15.75" customHeight="1">
      <c r="A50" s="222"/>
      <c r="B50" s="279">
        <v>45778</v>
      </c>
      <c r="C50" s="314"/>
      <c r="D50" s="314"/>
      <c r="E50" s="314"/>
      <c r="F50" s="314"/>
      <c r="G50" s="314"/>
      <c r="H50" s="242"/>
      <c r="I50" s="222"/>
      <c r="J50" s="222"/>
      <c r="K50" s="30"/>
      <c r="L50" s="314"/>
      <c r="M50" s="314"/>
      <c r="N50" s="314"/>
      <c r="O50" s="314"/>
      <c r="P50" s="24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</row>
    <row r="51" spans="1:50" ht="15.75" customHeight="1">
      <c r="A51" s="222"/>
      <c r="B51" s="279">
        <v>45809</v>
      </c>
      <c r="C51" s="315">
        <v>0.245</v>
      </c>
      <c r="D51" s="315">
        <v>0.128</v>
      </c>
      <c r="E51" s="315">
        <v>0.17</v>
      </c>
      <c r="F51" s="315">
        <v>0.09</v>
      </c>
      <c r="G51" s="315">
        <v>1.35</v>
      </c>
      <c r="H51" s="315">
        <v>0.21</v>
      </c>
      <c r="I51" s="316"/>
      <c r="J51" s="317">
        <v>0.253</v>
      </c>
      <c r="K51" s="318">
        <v>0.13200000000000001</v>
      </c>
      <c r="L51" s="315">
        <v>0.15</v>
      </c>
      <c r="M51" s="315">
        <v>0.11</v>
      </c>
      <c r="N51" s="315">
        <v>1.47</v>
      </c>
      <c r="O51" s="315">
        <v>0.18</v>
      </c>
      <c r="P51" s="316"/>
      <c r="Q51" s="312">
        <v>0.218</v>
      </c>
      <c r="R51" s="312">
        <v>0.11</v>
      </c>
      <c r="S51" s="312">
        <v>0.17</v>
      </c>
      <c r="T51" s="312">
        <v>0.09</v>
      </c>
      <c r="U51" s="312">
        <v>1.2</v>
      </c>
      <c r="V51" s="312">
        <v>0.24</v>
      </c>
      <c r="W51" s="312">
        <v>0.20399999999999999</v>
      </c>
      <c r="X51" s="312">
        <v>0.09</v>
      </c>
      <c r="Y51" s="312">
        <v>0.15</v>
      </c>
      <c r="Z51" s="312">
        <v>0.11</v>
      </c>
      <c r="AA51" s="312">
        <v>1.27</v>
      </c>
      <c r="AB51" s="312">
        <v>0.28000000000000003</v>
      </c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</row>
    <row r="52" spans="1:50" ht="15.75" customHeight="1">
      <c r="A52" s="222"/>
      <c r="B52" s="279">
        <v>45839</v>
      </c>
      <c r="C52" s="316"/>
      <c r="D52" s="316"/>
      <c r="E52" s="316"/>
      <c r="F52" s="316"/>
      <c r="G52" s="316"/>
      <c r="H52" s="316"/>
      <c r="I52" s="222"/>
      <c r="J52" s="222"/>
      <c r="K52" s="30"/>
      <c r="L52" s="316"/>
      <c r="M52" s="316"/>
      <c r="N52" s="316"/>
      <c r="O52" s="316"/>
      <c r="P52" s="316"/>
      <c r="Q52" s="222"/>
      <c r="R52" s="222"/>
      <c r="S52" s="316"/>
      <c r="T52" s="316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</row>
    <row r="53" spans="1:50" ht="15.75" customHeight="1">
      <c r="A53" s="222"/>
      <c r="B53" s="279">
        <v>45870</v>
      </c>
      <c r="C53" s="316"/>
      <c r="D53" s="316"/>
      <c r="E53" s="316"/>
      <c r="F53" s="316"/>
      <c r="G53" s="316"/>
      <c r="H53" s="316"/>
      <c r="I53" s="222"/>
      <c r="J53" s="222"/>
      <c r="K53" s="30"/>
      <c r="L53" s="316"/>
      <c r="M53" s="316"/>
      <c r="N53" s="316"/>
      <c r="O53" s="316"/>
      <c r="P53" s="316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</row>
    <row r="54" spans="1:50" ht="15.75" customHeight="1">
      <c r="A54" s="222"/>
      <c r="B54" s="279">
        <v>45901</v>
      </c>
      <c r="C54" s="316"/>
      <c r="D54" s="316"/>
      <c r="E54" s="316"/>
      <c r="F54" s="316"/>
      <c r="G54" s="316"/>
      <c r="H54" s="316"/>
      <c r="I54" s="222"/>
      <c r="J54" s="222"/>
      <c r="K54" s="30"/>
      <c r="L54" s="316"/>
      <c r="M54" s="316"/>
      <c r="N54" s="316"/>
      <c r="O54" s="316"/>
      <c r="P54" s="316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</row>
    <row r="55" spans="1:50" ht="15.75" customHeight="1">
      <c r="A55" s="222"/>
      <c r="B55" s="279">
        <v>45931</v>
      </c>
      <c r="C55" s="314"/>
      <c r="D55" s="314"/>
      <c r="E55" s="314"/>
      <c r="F55" s="314"/>
      <c r="G55" s="314"/>
      <c r="H55" s="242"/>
      <c r="I55" s="222"/>
      <c r="J55" s="222"/>
      <c r="K55" s="30"/>
      <c r="L55" s="314"/>
      <c r="M55" s="314"/>
      <c r="N55" s="314"/>
      <c r="O55" s="314"/>
      <c r="P55" s="24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</row>
    <row r="56" spans="1:50" ht="15.75" customHeight="1">
      <c r="A56" s="222"/>
      <c r="B56" s="279">
        <v>45962</v>
      </c>
      <c r="C56" s="314"/>
      <c r="D56" s="314"/>
      <c r="E56" s="314"/>
      <c r="F56" s="314"/>
      <c r="G56" s="314"/>
      <c r="H56" s="242"/>
      <c r="I56" s="222"/>
      <c r="J56" s="222"/>
      <c r="K56" s="30"/>
      <c r="L56" s="314"/>
      <c r="M56" s="314"/>
      <c r="N56" s="314"/>
      <c r="O56" s="314"/>
      <c r="P56" s="24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</row>
    <row r="57" spans="1:50" ht="15.75" customHeight="1">
      <c r="A57" s="222"/>
      <c r="B57" s="279">
        <v>45992</v>
      </c>
      <c r="C57" s="316"/>
      <c r="D57" s="316"/>
      <c r="E57" s="316"/>
      <c r="F57" s="316"/>
      <c r="G57" s="316"/>
      <c r="H57" s="316"/>
      <c r="I57" s="222"/>
      <c r="J57" s="222"/>
      <c r="K57" s="30"/>
      <c r="L57" s="316"/>
      <c r="M57" s="316"/>
      <c r="N57" s="316"/>
      <c r="O57" s="316"/>
      <c r="P57" s="316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>
        <v>60.4</v>
      </c>
      <c r="AC57" s="222">
        <v>12.7</v>
      </c>
      <c r="AD57" s="222">
        <v>27.8</v>
      </c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</row>
    <row r="58" spans="1:50" ht="15.75" customHeight="1">
      <c r="A58" s="222"/>
      <c r="E58" s="265"/>
      <c r="I58" s="222"/>
      <c r="J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</row>
    <row r="59" spans="1:50" ht="15.75" customHeight="1">
      <c r="A59" s="222"/>
      <c r="E59" s="265"/>
      <c r="I59" s="222"/>
      <c r="J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</row>
    <row r="60" spans="1:50" ht="15.75" customHeight="1">
      <c r="A60" s="222"/>
      <c r="E60" s="265"/>
      <c r="I60" s="222"/>
      <c r="J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  <c r="AC60" s="222"/>
      <c r="AD60" s="222"/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</row>
    <row r="61" spans="1:50" ht="15.75" customHeight="1">
      <c r="A61" s="222"/>
      <c r="B61" s="440"/>
      <c r="C61" s="441"/>
      <c r="D61" s="441"/>
      <c r="E61" s="441"/>
      <c r="F61" s="441"/>
      <c r="G61" s="441"/>
      <c r="H61" s="441"/>
      <c r="I61" s="222"/>
      <c r="J61" s="222"/>
      <c r="K61" s="273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</row>
    <row r="62" spans="1:50" ht="15.75" customHeight="1">
      <c r="A62" s="222"/>
      <c r="B62" s="222"/>
      <c r="E62" s="265"/>
      <c r="G62" s="222"/>
      <c r="I62" s="222"/>
      <c r="J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</row>
    <row r="63" spans="1:50" ht="15.75" customHeight="1">
      <c r="A63" s="222"/>
      <c r="B63" s="319"/>
      <c r="C63" s="140"/>
      <c r="D63" s="140"/>
      <c r="E63" s="140"/>
      <c r="F63" s="140"/>
      <c r="G63" s="141"/>
      <c r="H63" s="141"/>
      <c r="I63" s="222"/>
      <c r="J63" s="222"/>
      <c r="K63" s="140"/>
      <c r="L63" s="140"/>
      <c r="M63" s="140"/>
      <c r="N63" s="140"/>
      <c r="O63" s="320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2"/>
      <c r="AX63" s="222"/>
    </row>
    <row r="64" spans="1:50" ht="15.75" customHeight="1">
      <c r="A64" s="222"/>
      <c r="B64" s="273"/>
      <c r="C64" s="442"/>
      <c r="D64" s="441"/>
      <c r="E64" s="441"/>
      <c r="F64" s="441"/>
      <c r="G64" s="140"/>
      <c r="H64" s="140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</row>
    <row r="65" spans="1:50" ht="15.75" customHeight="1">
      <c r="A65" s="312" t="s">
        <v>3</v>
      </c>
      <c r="B65" s="321" t="s">
        <v>115</v>
      </c>
      <c r="C65" s="267" t="s">
        <v>106</v>
      </c>
      <c r="D65" s="268" t="s">
        <v>107</v>
      </c>
      <c r="E65" s="267" t="s">
        <v>95</v>
      </c>
      <c r="F65" s="267" t="s">
        <v>96</v>
      </c>
      <c r="G65" s="306" t="s">
        <v>108</v>
      </c>
      <c r="H65" s="268" t="s">
        <v>109</v>
      </c>
      <c r="I65" s="222"/>
      <c r="J65" s="222"/>
      <c r="K65" s="281"/>
      <c r="L65" s="281"/>
      <c r="M65" s="281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</row>
    <row r="66" spans="1:50" ht="15.75" customHeight="1">
      <c r="A66" s="312" t="s">
        <v>116</v>
      </c>
      <c r="B66" s="322" t="s">
        <v>117</v>
      </c>
      <c r="C66" s="323">
        <v>0.23100000000000001</v>
      </c>
      <c r="D66" s="323">
        <v>0.108</v>
      </c>
      <c r="E66" s="323">
        <v>0.17</v>
      </c>
      <c r="F66" s="323">
        <v>0.12</v>
      </c>
      <c r="G66" s="323">
        <v>1.25</v>
      </c>
      <c r="H66" s="323">
        <v>0.22</v>
      </c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</row>
    <row r="67" spans="1:50" ht="15.75" customHeight="1">
      <c r="A67" s="222"/>
      <c r="B67" s="322" t="s">
        <v>118</v>
      </c>
      <c r="C67" s="317">
        <v>58.6</v>
      </c>
      <c r="D67" s="281"/>
      <c r="E67" s="317">
        <v>14.8</v>
      </c>
      <c r="F67" s="317">
        <v>26.5</v>
      </c>
      <c r="G67" s="281"/>
      <c r="H67" s="281"/>
      <c r="I67" s="222"/>
      <c r="J67" s="222"/>
      <c r="K67" s="281"/>
      <c r="L67" s="281"/>
      <c r="M67" s="281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222"/>
      <c r="AP67" s="222"/>
      <c r="AQ67" s="222"/>
      <c r="AR67" s="222"/>
      <c r="AS67" s="222"/>
      <c r="AT67" s="222"/>
      <c r="AU67" s="222"/>
      <c r="AV67" s="222"/>
      <c r="AW67" s="222"/>
      <c r="AX67" s="222"/>
    </row>
    <row r="68" spans="1:50" ht="15.75" customHeight="1">
      <c r="A68" s="222"/>
      <c r="B68" s="322" t="s">
        <v>119</v>
      </c>
      <c r="C68" s="317">
        <v>60.5</v>
      </c>
      <c r="D68" s="281"/>
      <c r="E68" s="317">
        <v>12.3</v>
      </c>
      <c r="F68" s="317">
        <v>27</v>
      </c>
      <c r="G68" s="281"/>
      <c r="H68" s="281"/>
      <c r="I68" s="222"/>
      <c r="J68" s="222"/>
      <c r="K68" s="281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</row>
    <row r="69" spans="1:50" ht="15.75" customHeight="1">
      <c r="A69" s="222"/>
      <c r="B69" s="322" t="s">
        <v>120</v>
      </c>
      <c r="C69" s="317">
        <v>61.5</v>
      </c>
      <c r="D69" s="281"/>
      <c r="E69" s="317">
        <v>11.7</v>
      </c>
      <c r="F69" s="317">
        <v>26.3</v>
      </c>
      <c r="G69" s="281"/>
      <c r="H69" s="281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</row>
    <row r="70" spans="1:50" ht="15.75" customHeight="1">
      <c r="A70" s="222"/>
      <c r="B70" s="322" t="s">
        <v>121</v>
      </c>
      <c r="C70" s="317">
        <v>60.3</v>
      </c>
      <c r="D70" s="281"/>
      <c r="E70" s="317">
        <v>12.5</v>
      </c>
      <c r="F70" s="317">
        <v>27.4</v>
      </c>
      <c r="G70" s="281"/>
      <c r="H70" s="281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</row>
    <row r="71" spans="1:50" ht="15.75" customHeight="1">
      <c r="A71" s="222"/>
      <c r="B71" s="322" t="s">
        <v>122</v>
      </c>
      <c r="C71" s="317">
        <v>57.4</v>
      </c>
      <c r="D71" s="281"/>
      <c r="E71" s="317">
        <v>13</v>
      </c>
      <c r="F71" s="317">
        <v>28.2</v>
      </c>
      <c r="G71" s="281"/>
      <c r="H71" s="281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</row>
    <row r="72" spans="1:50" ht="15.75" customHeight="1">
      <c r="A72" s="222"/>
      <c r="B72" s="322" t="s">
        <v>114</v>
      </c>
      <c r="C72" s="317">
        <v>62.5</v>
      </c>
      <c r="D72" s="281"/>
      <c r="E72" s="317">
        <v>13.6</v>
      </c>
      <c r="F72" s="317">
        <v>30.7</v>
      </c>
      <c r="G72" s="281"/>
      <c r="H72" s="281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</row>
    <row r="73" spans="1:50" ht="15.75" customHeight="1">
      <c r="A73" s="222"/>
      <c r="B73" s="277"/>
      <c r="C73" s="281"/>
      <c r="D73" s="281"/>
      <c r="E73" s="281"/>
      <c r="F73" s="281"/>
      <c r="G73" s="281"/>
      <c r="H73" s="281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</row>
    <row r="74" spans="1:50" ht="15.75" customHeight="1">
      <c r="A74" s="222"/>
      <c r="B74" s="277"/>
      <c r="C74" s="281"/>
      <c r="D74" s="281"/>
      <c r="E74" s="281"/>
      <c r="F74" s="281"/>
      <c r="G74" s="281"/>
      <c r="H74" s="281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</row>
    <row r="75" spans="1:50" ht="15.75" customHeight="1">
      <c r="A75" s="222"/>
      <c r="B75" s="277"/>
      <c r="C75" s="281"/>
      <c r="D75" s="281"/>
      <c r="E75" s="281"/>
      <c r="F75" s="281"/>
      <c r="G75" s="281"/>
      <c r="H75" s="281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/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</row>
    <row r="76" spans="1:50" ht="15.75" customHeight="1">
      <c r="A76" s="222"/>
      <c r="B76" s="277"/>
      <c r="C76" s="281"/>
      <c r="D76" s="281"/>
      <c r="E76" s="281"/>
      <c r="F76" s="281"/>
      <c r="G76" s="281"/>
      <c r="H76" s="281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</row>
    <row r="77" spans="1:50" ht="15.75" customHeight="1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22"/>
      <c r="AD77" s="222"/>
      <c r="AE77" s="222"/>
      <c r="AF77" s="222"/>
      <c r="AG77" s="222"/>
      <c r="AH77" s="222"/>
      <c r="AI77" s="222"/>
      <c r="AJ77" s="222"/>
      <c r="AK77" s="222"/>
      <c r="AL77" s="222"/>
      <c r="AM77" s="222"/>
      <c r="AN77" s="222"/>
      <c r="AO77" s="222"/>
      <c r="AP77" s="222"/>
      <c r="AQ77" s="222"/>
      <c r="AR77" s="222"/>
      <c r="AS77" s="222"/>
      <c r="AT77" s="222"/>
      <c r="AU77" s="222"/>
      <c r="AV77" s="222"/>
      <c r="AW77" s="222"/>
      <c r="AX77" s="222"/>
    </row>
    <row r="78" spans="1:50" ht="15.75" customHeight="1">
      <c r="A78" s="222"/>
      <c r="B78" s="324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</row>
    <row r="79" spans="1:50" ht="15.75" customHeight="1">
      <c r="A79" s="222"/>
      <c r="B79" s="326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2"/>
      <c r="AO79" s="222"/>
      <c r="AP79" s="222"/>
      <c r="AQ79" s="222"/>
      <c r="AR79" s="222"/>
      <c r="AS79" s="222"/>
      <c r="AT79" s="222"/>
      <c r="AU79" s="222"/>
      <c r="AV79" s="222"/>
      <c r="AW79" s="222"/>
      <c r="AX79" s="222"/>
    </row>
    <row r="80" spans="1:50" ht="15.75" customHeight="1">
      <c r="A80" s="222"/>
      <c r="B80" s="327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2"/>
      <c r="AT80" s="222"/>
      <c r="AU80" s="222"/>
      <c r="AV80" s="222"/>
      <c r="AW80" s="222"/>
      <c r="AX80" s="222"/>
    </row>
    <row r="81" spans="1:50" ht="15.75" customHeight="1">
      <c r="A81" s="222"/>
      <c r="B81" s="326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  <c r="AB81" s="222"/>
      <c r="AC81" s="222"/>
      <c r="AD81" s="222"/>
      <c r="AE81" s="222"/>
      <c r="AF81" s="222"/>
      <c r="AG81" s="222"/>
      <c r="AH81" s="222"/>
      <c r="AI81" s="222"/>
      <c r="AJ81" s="222"/>
      <c r="AK81" s="222"/>
      <c r="AL81" s="222"/>
      <c r="AM81" s="222"/>
      <c r="AN81" s="222"/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</row>
    <row r="82" spans="1:50" ht="15.75" customHeight="1">
      <c r="A82" s="222"/>
      <c r="B82" s="443"/>
      <c r="C82" s="441"/>
      <c r="D82" s="441"/>
      <c r="E82" s="441"/>
      <c r="F82" s="441"/>
      <c r="G82" s="441"/>
      <c r="H82" s="441"/>
      <c r="I82" s="441"/>
      <c r="J82" s="441"/>
      <c r="K82" s="441"/>
      <c r="L82" s="441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/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</row>
    <row r="83" spans="1:50" ht="15.75" customHeight="1">
      <c r="A83" s="222"/>
      <c r="B83" s="329"/>
      <c r="C83" s="330"/>
      <c r="D83" s="330"/>
      <c r="E83" s="330"/>
      <c r="F83" s="330"/>
      <c r="G83" s="330"/>
      <c r="H83" s="328"/>
      <c r="I83" s="328"/>
      <c r="J83" s="328"/>
      <c r="K83" s="331"/>
      <c r="L83" s="331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</row>
    <row r="84" spans="1:50" ht="15.75" customHeight="1">
      <c r="A84" s="222"/>
      <c r="B84" s="329"/>
      <c r="C84" s="444"/>
      <c r="D84" s="441"/>
      <c r="E84" s="441"/>
      <c r="F84" s="441"/>
      <c r="G84" s="443"/>
      <c r="H84" s="441"/>
      <c r="I84" s="328"/>
      <c r="J84" s="328"/>
      <c r="K84" s="330"/>
      <c r="L84" s="330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</row>
    <row r="85" spans="1:50" ht="15.75" customHeight="1">
      <c r="A85" s="222"/>
      <c r="B85" s="277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</row>
    <row r="86" spans="1:50" ht="15.75" customHeight="1">
      <c r="A86" s="222"/>
      <c r="B86" s="277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</row>
    <row r="87" spans="1:50" ht="15.75" customHeight="1">
      <c r="A87" s="222"/>
      <c r="B87" s="277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</row>
    <row r="88" spans="1:50" ht="15.75" customHeight="1">
      <c r="A88" s="222"/>
      <c r="B88" s="277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</row>
    <row r="89" spans="1:50" ht="15.75" customHeight="1">
      <c r="A89" s="222"/>
      <c r="B89" s="30"/>
      <c r="C89" s="332"/>
      <c r="D89" s="332"/>
      <c r="E89" s="332"/>
      <c r="F89" s="332"/>
      <c r="G89" s="332"/>
      <c r="H89" s="332"/>
      <c r="I89" s="332"/>
      <c r="J89" s="332"/>
      <c r="K89" s="332"/>
      <c r="L89" s="333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</row>
    <row r="90" spans="1:50" ht="15.75" customHeight="1">
      <c r="A90" s="222"/>
      <c r="B90" s="30"/>
      <c r="C90" s="334"/>
      <c r="D90" s="334"/>
      <c r="E90" s="334"/>
      <c r="F90" s="334"/>
      <c r="G90" s="334"/>
      <c r="H90" s="334"/>
      <c r="I90" s="334"/>
      <c r="J90" s="334"/>
      <c r="K90" s="334"/>
      <c r="L90" s="335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</row>
    <row r="91" spans="1:50" ht="15.75" customHeight="1">
      <c r="A91" s="222"/>
      <c r="B91" s="30"/>
      <c r="C91" s="334"/>
      <c r="D91" s="334"/>
      <c r="E91" s="334"/>
      <c r="F91" s="334"/>
      <c r="G91" s="334"/>
      <c r="H91" s="334"/>
      <c r="I91" s="334"/>
      <c r="J91" s="334"/>
      <c r="K91" s="334"/>
      <c r="L91" s="335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</row>
    <row r="92" spans="1:50" ht="15.75" customHeight="1">
      <c r="A92" s="222"/>
      <c r="B92" s="30"/>
      <c r="C92" s="334"/>
      <c r="D92" s="334"/>
      <c r="E92" s="334"/>
      <c r="F92" s="334"/>
      <c r="G92" s="334"/>
      <c r="H92" s="334"/>
      <c r="I92" s="334"/>
      <c r="J92" s="334"/>
      <c r="K92" s="334"/>
      <c r="L92" s="335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</row>
    <row r="93" spans="1:50" ht="15.75" customHeight="1">
      <c r="A93" s="222"/>
      <c r="B93" s="30"/>
      <c r="C93" s="334"/>
      <c r="D93" s="334"/>
      <c r="E93" s="334"/>
      <c r="F93" s="334"/>
      <c r="G93" s="334"/>
      <c r="H93" s="334"/>
      <c r="I93" s="334"/>
      <c r="J93" s="334"/>
      <c r="K93" s="336"/>
      <c r="L93" s="337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</row>
    <row r="94" spans="1:50" ht="15.75" customHeight="1">
      <c r="A94" s="222"/>
      <c r="B94" s="30"/>
      <c r="C94" s="334"/>
      <c r="D94" s="334"/>
      <c r="E94" s="334"/>
      <c r="F94" s="334"/>
      <c r="G94" s="334"/>
      <c r="H94" s="334"/>
      <c r="I94" s="334"/>
      <c r="J94" s="334"/>
      <c r="K94" s="334"/>
      <c r="L94" s="335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  <c r="AC94" s="222"/>
      <c r="AD94" s="222"/>
      <c r="AE94" s="222"/>
      <c r="AF94" s="222"/>
      <c r="AG94" s="222"/>
      <c r="AH94" s="222"/>
      <c r="AI94" s="222"/>
      <c r="AJ94" s="222"/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</row>
    <row r="95" spans="1:50" ht="15.75" customHeight="1">
      <c r="A95" s="222"/>
      <c r="B95" s="30"/>
      <c r="C95" s="334"/>
      <c r="D95" s="334"/>
      <c r="E95" s="334"/>
      <c r="F95" s="334"/>
      <c r="G95" s="334"/>
      <c r="H95" s="334"/>
      <c r="I95" s="334"/>
      <c r="J95" s="334"/>
      <c r="K95" s="334"/>
      <c r="L95" s="335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</row>
    <row r="96" spans="1:50" ht="15.75" customHeight="1">
      <c r="A96" s="222"/>
      <c r="B96" s="30"/>
      <c r="C96" s="338"/>
      <c r="D96" s="338"/>
      <c r="E96" s="338"/>
      <c r="F96" s="338"/>
      <c r="G96" s="338"/>
      <c r="H96" s="338"/>
      <c r="I96" s="338"/>
      <c r="J96" s="338"/>
      <c r="K96" s="338"/>
      <c r="L96" s="339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</row>
    <row r="97" spans="1:50" ht="15.75" customHeight="1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</row>
    <row r="98" spans="1:50" ht="15.75" customHeight="1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</row>
    <row r="99" spans="1:50" ht="15.75" customHeight="1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</row>
    <row r="100" spans="1:50" ht="15.75" customHeight="1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</row>
    <row r="101" spans="1:50" ht="15.75" customHeight="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</row>
    <row r="102" spans="1:50" ht="15.75" customHeight="1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</row>
    <row r="103" spans="1:50" ht="15.75" customHeight="1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</row>
    <row r="104" spans="1:50" ht="15.75" customHeight="1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</row>
    <row r="105" spans="1:50" ht="15.75" customHeight="1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</row>
    <row r="106" spans="1:50" ht="15.75" customHeight="1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</row>
    <row r="107" spans="1:50" ht="15.75" customHeight="1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</row>
    <row r="108" spans="1:50" ht="15.75" customHeight="1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</row>
    <row r="109" spans="1:50" ht="15.75" customHeight="1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</row>
    <row r="110" spans="1:50" ht="15.75" customHeight="1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</row>
    <row r="111" spans="1:50" ht="15.75" customHeight="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</row>
    <row r="112" spans="1:50" ht="15.75" customHeight="1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</row>
    <row r="113" spans="1:50" ht="15.75" customHeight="1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</row>
    <row r="114" spans="1:50" ht="15.75" customHeight="1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</row>
    <row r="115" spans="1:50" ht="15.75" customHeight="1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</row>
    <row r="116" spans="1:50" ht="15.75" customHeight="1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22"/>
      <c r="AU116" s="222"/>
      <c r="AV116" s="222"/>
      <c r="AW116" s="222"/>
      <c r="AX116" s="222"/>
    </row>
    <row r="117" spans="1:50" ht="15.75" customHeight="1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</row>
    <row r="118" spans="1:50" ht="15.75" customHeight="1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</row>
    <row r="119" spans="1:50" ht="15.75" customHeight="1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</row>
    <row r="120" spans="1:50" ht="15.75" customHeight="1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</row>
    <row r="121" spans="1:50" ht="15.75" customHeight="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</row>
    <row r="122" spans="1:50" ht="15.75" customHeight="1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</row>
    <row r="123" spans="1:50" ht="15.75" customHeight="1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</row>
    <row r="124" spans="1:50" ht="15.75" customHeight="1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</row>
    <row r="125" spans="1:50" ht="15.75" customHeight="1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</row>
    <row r="126" spans="1:50" ht="15.75" customHeight="1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</row>
    <row r="127" spans="1:50" ht="15.75" customHeight="1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  <c r="AC127" s="222"/>
      <c r="AD127" s="222"/>
      <c r="AE127" s="222"/>
      <c r="AF127" s="222"/>
      <c r="AG127" s="222"/>
      <c r="AH127" s="222"/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</row>
    <row r="128" spans="1:50" ht="15.75" customHeight="1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</row>
    <row r="129" spans="1:50" ht="15.75" customHeight="1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</row>
    <row r="130" spans="1:50" ht="15.75" customHeight="1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</row>
    <row r="131" spans="1:50" ht="15.75" customHeight="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</row>
    <row r="132" spans="1:50" ht="15.75" customHeight="1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</row>
    <row r="133" spans="1:50" ht="15.75" customHeight="1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</row>
    <row r="134" spans="1:50" ht="15.75" customHeight="1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</row>
    <row r="135" spans="1:50" ht="15.75" customHeight="1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</row>
    <row r="136" spans="1:50" ht="15.75" customHeight="1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</row>
    <row r="137" spans="1:50" ht="15.75" customHeight="1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</row>
    <row r="138" spans="1:50" ht="15.75" customHeight="1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</row>
    <row r="139" spans="1:50" ht="15.75" customHeight="1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</row>
    <row r="140" spans="1:50" ht="15.75" customHeight="1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</row>
    <row r="141" spans="1:50" ht="15.75" customHeight="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</row>
    <row r="142" spans="1:50" ht="15.75" customHeight="1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</row>
    <row r="143" spans="1:50" ht="15.75" customHeight="1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</row>
    <row r="144" spans="1:50" ht="15.75" customHeight="1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</row>
    <row r="145" spans="1:50" ht="15.75" customHeight="1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</row>
    <row r="146" spans="1:50" ht="15.75" customHeight="1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</row>
    <row r="147" spans="1:50" ht="15.75" customHeight="1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</row>
    <row r="148" spans="1:50" ht="15.75" customHeight="1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</row>
    <row r="149" spans="1:50" ht="15.75" customHeight="1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</row>
    <row r="150" spans="1:50" ht="15.75" customHeight="1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</row>
    <row r="151" spans="1:50" ht="15.75" customHeight="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</row>
    <row r="152" spans="1:50" ht="15.75" customHeight="1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</row>
    <row r="153" spans="1:50" ht="15.75" customHeight="1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</row>
    <row r="154" spans="1:50" ht="15.75" customHeight="1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</row>
    <row r="155" spans="1:50" ht="15.75" customHeight="1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</row>
    <row r="156" spans="1:50" ht="15.75" customHeight="1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</row>
    <row r="157" spans="1:50" ht="15.75" customHeight="1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</row>
    <row r="158" spans="1:50" ht="15.75" customHeight="1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22"/>
      <c r="AU158" s="222"/>
      <c r="AV158" s="222"/>
      <c r="AW158" s="222"/>
      <c r="AX158" s="222"/>
    </row>
    <row r="159" spans="1:50" ht="15.75" customHeight="1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</row>
    <row r="160" spans="1:50" ht="15.75" customHeight="1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</row>
    <row r="161" spans="1:50" ht="15.75" customHeight="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</row>
    <row r="162" spans="1:50" ht="15.75" customHeight="1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222"/>
      <c r="AP162" s="222"/>
      <c r="AQ162" s="222"/>
      <c r="AR162" s="222"/>
      <c r="AS162" s="222"/>
      <c r="AT162" s="222"/>
      <c r="AU162" s="222"/>
      <c r="AV162" s="222"/>
      <c r="AW162" s="222"/>
      <c r="AX162" s="222"/>
    </row>
    <row r="163" spans="1:50" ht="15.75" customHeight="1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</row>
    <row r="164" spans="1:50" ht="15.75" customHeight="1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</row>
    <row r="165" spans="1:50" ht="15.75" customHeight="1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</row>
    <row r="166" spans="1:50" ht="15.75" customHeight="1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  <c r="AM166" s="222"/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</row>
    <row r="167" spans="1:50" ht="15.75" customHeight="1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/>
      <c r="AN167" s="222"/>
      <c r="AO167" s="222"/>
      <c r="AP167" s="222"/>
      <c r="AQ167" s="222"/>
      <c r="AR167" s="222"/>
      <c r="AS167" s="222"/>
      <c r="AT167" s="222"/>
      <c r="AU167" s="222"/>
      <c r="AV167" s="222"/>
      <c r="AW167" s="222"/>
      <c r="AX167" s="222"/>
    </row>
    <row r="168" spans="1:50" ht="15.75" customHeight="1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</row>
    <row r="169" spans="1:50" ht="15.75" customHeight="1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</row>
    <row r="170" spans="1:50" ht="15.75" customHeight="1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</row>
    <row r="171" spans="1:50" ht="15.75" customHeight="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</row>
    <row r="172" spans="1:50" ht="15.75" customHeight="1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</row>
    <row r="173" spans="1:50" ht="15.75" customHeight="1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</row>
    <row r="174" spans="1:50" ht="15.75" customHeight="1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</row>
    <row r="175" spans="1:50" ht="15.75" customHeight="1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</row>
    <row r="176" spans="1:50" ht="15.75" customHeight="1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</row>
    <row r="177" spans="1:50" ht="15.75" customHeight="1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</row>
    <row r="178" spans="1:50" ht="15.75" customHeight="1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</row>
    <row r="179" spans="1:50" ht="15.75" customHeight="1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</row>
    <row r="180" spans="1:50" ht="15.75" customHeight="1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</row>
    <row r="181" spans="1:50" ht="15.75" customHeight="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</row>
    <row r="182" spans="1:50" ht="15.75" customHeight="1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</row>
    <row r="183" spans="1:50" ht="15.75" customHeight="1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</row>
    <row r="184" spans="1:50" ht="15.75" customHeight="1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</row>
    <row r="185" spans="1:50" ht="15.75" customHeight="1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222"/>
      <c r="AP185" s="222"/>
      <c r="AQ185" s="222"/>
      <c r="AR185" s="222"/>
      <c r="AS185" s="222"/>
      <c r="AT185" s="222"/>
      <c r="AU185" s="222"/>
      <c r="AV185" s="222"/>
      <c r="AW185" s="222"/>
      <c r="AX185" s="222"/>
    </row>
    <row r="186" spans="1:50" ht="15.75" customHeight="1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</row>
    <row r="187" spans="1:50" ht="15.75" customHeight="1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</row>
    <row r="188" spans="1:50" ht="15.75" customHeight="1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222"/>
      <c r="AP188" s="222"/>
      <c r="AQ188" s="222"/>
      <c r="AR188" s="222"/>
      <c r="AS188" s="222"/>
      <c r="AT188" s="222"/>
      <c r="AU188" s="222"/>
      <c r="AV188" s="222"/>
      <c r="AW188" s="222"/>
      <c r="AX188" s="222"/>
    </row>
    <row r="189" spans="1:50" ht="15.75" customHeight="1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</row>
    <row r="190" spans="1:50" ht="15.75" customHeight="1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  <c r="AU190" s="222"/>
      <c r="AV190" s="222"/>
      <c r="AW190" s="222"/>
      <c r="AX190" s="222"/>
    </row>
    <row r="191" spans="1:50" ht="15.75" customHeight="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</row>
    <row r="192" spans="1:50" ht="15.75" customHeight="1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  <c r="AU192" s="222"/>
      <c r="AV192" s="222"/>
      <c r="AW192" s="222"/>
      <c r="AX192" s="222"/>
    </row>
    <row r="193" spans="1:50" ht="15.75" customHeight="1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</row>
    <row r="194" spans="1:50" ht="15.75" customHeight="1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</row>
    <row r="195" spans="1:50" ht="15.75" customHeight="1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</row>
    <row r="196" spans="1:50" ht="15.75" customHeight="1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2"/>
      <c r="AV196" s="222"/>
      <c r="AW196" s="222"/>
      <c r="AX196" s="222"/>
    </row>
    <row r="197" spans="1:50" ht="15.75" customHeight="1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  <c r="AC197" s="222"/>
      <c r="AD197" s="222"/>
      <c r="AE197" s="222"/>
      <c r="AF197" s="222"/>
      <c r="AG197" s="222"/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  <c r="AU197" s="222"/>
      <c r="AV197" s="222"/>
      <c r="AW197" s="222"/>
      <c r="AX197" s="222"/>
    </row>
    <row r="198" spans="1:50" ht="15.75" customHeight="1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  <c r="AU198" s="222"/>
      <c r="AV198" s="222"/>
      <c r="AW198" s="222"/>
      <c r="AX198" s="222"/>
    </row>
    <row r="199" spans="1:50" ht="15.75" customHeight="1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</row>
    <row r="200" spans="1:50" ht="15.75" customHeight="1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</row>
    <row r="201" spans="1:50" ht="15.75" customHeight="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</row>
    <row r="202" spans="1:50" ht="15.75" customHeight="1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</row>
    <row r="203" spans="1:50" ht="15.75" customHeight="1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</row>
    <row r="204" spans="1:50" ht="15.75" customHeight="1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</row>
    <row r="205" spans="1:50" ht="15.75" customHeight="1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222"/>
      <c r="AP205" s="222"/>
      <c r="AQ205" s="222"/>
      <c r="AR205" s="222"/>
      <c r="AS205" s="222"/>
      <c r="AT205" s="222"/>
      <c r="AU205" s="222"/>
      <c r="AV205" s="222"/>
      <c r="AW205" s="222"/>
      <c r="AX205" s="222"/>
    </row>
    <row r="206" spans="1:50" ht="15.75" customHeight="1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222"/>
      <c r="AP206" s="222"/>
      <c r="AQ206" s="222"/>
      <c r="AR206" s="222"/>
      <c r="AS206" s="222"/>
      <c r="AT206" s="222"/>
      <c r="AU206" s="222"/>
      <c r="AV206" s="222"/>
      <c r="AW206" s="222"/>
      <c r="AX206" s="222"/>
    </row>
    <row r="207" spans="1:50" ht="15.75" customHeight="1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</row>
    <row r="208" spans="1:50" ht="15.75" customHeight="1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</row>
    <row r="209" spans="1:50" ht="15.75" customHeight="1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222"/>
      <c r="AP209" s="222"/>
      <c r="AQ209" s="222"/>
      <c r="AR209" s="222"/>
      <c r="AS209" s="222"/>
      <c r="AT209" s="222"/>
      <c r="AU209" s="222"/>
      <c r="AV209" s="222"/>
      <c r="AW209" s="222"/>
      <c r="AX209" s="222"/>
    </row>
    <row r="210" spans="1:50" ht="15.75" customHeight="1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</row>
    <row r="211" spans="1:50" ht="15.75" customHeight="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</row>
    <row r="212" spans="1:50" ht="15.75" customHeight="1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</row>
    <row r="213" spans="1:50" ht="15.75" customHeight="1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</row>
    <row r="214" spans="1:50" ht="15.75" customHeight="1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222"/>
      <c r="AP214" s="222"/>
      <c r="AQ214" s="222"/>
      <c r="AR214" s="222"/>
      <c r="AS214" s="222"/>
      <c r="AT214" s="222"/>
      <c r="AU214" s="222"/>
      <c r="AV214" s="222"/>
      <c r="AW214" s="222"/>
      <c r="AX214" s="222"/>
    </row>
    <row r="215" spans="1:50" ht="15.75" customHeight="1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</row>
    <row r="216" spans="1:50" ht="15.75" customHeight="1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</row>
    <row r="217" spans="1:50" ht="15.75" customHeight="1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</row>
    <row r="218" spans="1:50" ht="15.75" customHeight="1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</row>
    <row r="219" spans="1:50" ht="15.75" customHeight="1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</row>
    <row r="220" spans="1:50" ht="15.75" customHeight="1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</row>
    <row r="221" spans="1:50" ht="15.75" customHeight="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</row>
    <row r="222" spans="1:50" ht="15.75" customHeight="1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</row>
    <row r="223" spans="1:50" ht="15.75" customHeight="1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222"/>
      <c r="AP223" s="222"/>
      <c r="AQ223" s="222"/>
      <c r="AR223" s="222"/>
      <c r="AS223" s="222"/>
      <c r="AT223" s="222"/>
      <c r="AU223" s="222"/>
      <c r="AV223" s="222"/>
      <c r="AW223" s="222"/>
      <c r="AX223" s="222"/>
    </row>
    <row r="224" spans="1:50" ht="15.75" customHeight="1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</row>
    <row r="225" spans="1:50" ht="15.75" customHeight="1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</row>
    <row r="226" spans="1:50" ht="15.75" customHeight="1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</row>
    <row r="227" spans="1:50" ht="15.75" customHeight="1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</row>
    <row r="228" spans="1:50" ht="15.75" customHeight="1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</row>
    <row r="229" spans="1:50" ht="15.75" customHeight="1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</row>
    <row r="230" spans="1:50" ht="15.75" customHeight="1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</row>
    <row r="231" spans="1:50" ht="15.75" customHeight="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</row>
    <row r="232" spans="1:50" ht="15.75" customHeight="1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</row>
    <row r="233" spans="1:50" ht="15.75" customHeight="1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</row>
    <row r="234" spans="1:50" ht="15.75" customHeight="1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</row>
    <row r="235" spans="1:50" ht="15.75" customHeight="1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</row>
    <row r="236" spans="1:50" ht="15.75" customHeight="1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</row>
    <row r="237" spans="1:50" ht="15.75" customHeight="1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  <c r="AC237" s="222"/>
      <c r="AD237" s="222"/>
      <c r="AE237" s="222"/>
      <c r="AF237" s="222"/>
      <c r="AG237" s="222"/>
      <c r="AH237" s="222"/>
      <c r="AI237" s="222"/>
      <c r="AJ237" s="222"/>
      <c r="AK237" s="222"/>
      <c r="AL237" s="222"/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</row>
    <row r="238" spans="1:50" ht="15.75" customHeight="1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</row>
    <row r="239" spans="1:50" ht="15.75" customHeight="1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</row>
    <row r="240" spans="1:50" ht="15.75" customHeight="1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/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</row>
    <row r="241" spans="1:50" ht="15.75" customHeight="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/>
      <c r="AD241" s="222"/>
      <c r="AE241" s="222"/>
      <c r="AF241" s="222"/>
      <c r="AG241" s="222"/>
      <c r="AH241" s="222"/>
      <c r="AI241" s="222"/>
      <c r="AJ241" s="222"/>
      <c r="AK241" s="222"/>
      <c r="AL241" s="222"/>
      <c r="AM241" s="222"/>
      <c r="AN241" s="222"/>
      <c r="AO241" s="222"/>
      <c r="AP241" s="222"/>
      <c r="AQ241" s="222"/>
      <c r="AR241" s="222"/>
      <c r="AS241" s="222"/>
      <c r="AT241" s="222"/>
      <c r="AU241" s="222"/>
      <c r="AV241" s="222"/>
      <c r="AW241" s="222"/>
      <c r="AX241" s="222"/>
    </row>
    <row r="242" spans="1:50" ht="15.75" customHeight="1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  <c r="AC242" s="222"/>
      <c r="AD242" s="222"/>
      <c r="AE242" s="222"/>
      <c r="AF242" s="222"/>
      <c r="AG242" s="222"/>
      <c r="AH242" s="222"/>
      <c r="AI242" s="222"/>
      <c r="AJ242" s="222"/>
      <c r="AK242" s="222"/>
      <c r="AL242" s="222"/>
      <c r="AM242" s="222"/>
      <c r="AN242" s="222"/>
      <c r="AO242" s="222"/>
      <c r="AP242" s="222"/>
      <c r="AQ242" s="222"/>
      <c r="AR242" s="222"/>
      <c r="AS242" s="222"/>
      <c r="AT242" s="222"/>
      <c r="AU242" s="222"/>
      <c r="AV242" s="222"/>
      <c r="AW242" s="222"/>
      <c r="AX242" s="222"/>
    </row>
    <row r="243" spans="1:50" ht="15.75" customHeight="1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  <c r="AM243" s="222"/>
      <c r="AN243" s="222"/>
      <c r="AO243" s="222"/>
      <c r="AP243" s="222"/>
      <c r="AQ243" s="222"/>
      <c r="AR243" s="222"/>
      <c r="AS243" s="222"/>
      <c r="AT243" s="222"/>
      <c r="AU243" s="222"/>
      <c r="AV243" s="222"/>
      <c r="AW243" s="222"/>
      <c r="AX243" s="222"/>
    </row>
    <row r="244" spans="1:50" ht="15.75" customHeight="1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  <c r="AC244" s="222"/>
      <c r="AD244" s="222"/>
      <c r="AE244" s="222"/>
      <c r="AF244" s="222"/>
      <c r="AG244" s="222"/>
      <c r="AH244" s="222"/>
      <c r="AI244" s="222"/>
      <c r="AJ244" s="222"/>
      <c r="AK244" s="222"/>
      <c r="AL244" s="222"/>
      <c r="AM244" s="222"/>
      <c r="AN244" s="222"/>
      <c r="AO244" s="222"/>
      <c r="AP244" s="222"/>
      <c r="AQ244" s="222"/>
      <c r="AR244" s="222"/>
      <c r="AS244" s="222"/>
      <c r="AT244" s="222"/>
      <c r="AU244" s="222"/>
      <c r="AV244" s="222"/>
      <c r="AW244" s="222"/>
      <c r="AX244" s="222"/>
    </row>
    <row r="245" spans="1:50" ht="15.75" customHeight="1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  <c r="AC245" s="222"/>
      <c r="AD245" s="222"/>
      <c r="AE245" s="222"/>
      <c r="AF245" s="222"/>
      <c r="AG245" s="222"/>
      <c r="AH245" s="222"/>
      <c r="AI245" s="222"/>
      <c r="AJ245" s="222"/>
      <c r="AK245" s="222"/>
      <c r="AL245" s="222"/>
      <c r="AM245" s="222"/>
      <c r="AN245" s="222"/>
      <c r="AO245" s="222"/>
      <c r="AP245" s="222"/>
      <c r="AQ245" s="222"/>
      <c r="AR245" s="222"/>
      <c r="AS245" s="222"/>
      <c r="AT245" s="222"/>
      <c r="AU245" s="222"/>
      <c r="AV245" s="222"/>
      <c r="AW245" s="222"/>
      <c r="AX245" s="222"/>
    </row>
    <row r="246" spans="1:50" ht="15.75" customHeight="1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2"/>
      <c r="AG246" s="222"/>
      <c r="AH246" s="222"/>
      <c r="AI246" s="222"/>
      <c r="AJ246" s="222"/>
      <c r="AK246" s="222"/>
      <c r="AL246" s="222"/>
      <c r="AM246" s="222"/>
      <c r="AN246" s="222"/>
      <c r="AO246" s="222"/>
      <c r="AP246" s="222"/>
      <c r="AQ246" s="222"/>
      <c r="AR246" s="222"/>
      <c r="AS246" s="222"/>
      <c r="AT246" s="222"/>
      <c r="AU246" s="222"/>
      <c r="AV246" s="222"/>
      <c r="AW246" s="222"/>
      <c r="AX246" s="222"/>
    </row>
    <row r="247" spans="1:50" ht="15.75" customHeight="1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  <c r="AF247" s="222"/>
      <c r="AG247" s="222"/>
      <c r="AH247" s="222"/>
      <c r="AI247" s="222"/>
      <c r="AJ247" s="222"/>
      <c r="AK247" s="222"/>
      <c r="AL247" s="222"/>
      <c r="AM247" s="222"/>
      <c r="AN247" s="222"/>
      <c r="AO247" s="222"/>
      <c r="AP247" s="222"/>
      <c r="AQ247" s="222"/>
      <c r="AR247" s="222"/>
      <c r="AS247" s="222"/>
      <c r="AT247" s="222"/>
      <c r="AU247" s="222"/>
      <c r="AV247" s="222"/>
      <c r="AW247" s="222"/>
      <c r="AX247" s="222"/>
    </row>
    <row r="248" spans="1:50" ht="15.75" customHeight="1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2"/>
      <c r="AG248" s="222"/>
      <c r="AH248" s="222"/>
      <c r="AI248" s="222"/>
      <c r="AJ248" s="222"/>
      <c r="AK248" s="222"/>
      <c r="AL248" s="222"/>
      <c r="AM248" s="222"/>
      <c r="AN248" s="222"/>
      <c r="AO248" s="222"/>
      <c r="AP248" s="222"/>
      <c r="AQ248" s="222"/>
      <c r="AR248" s="222"/>
      <c r="AS248" s="222"/>
      <c r="AT248" s="222"/>
      <c r="AU248" s="222"/>
      <c r="AV248" s="222"/>
      <c r="AW248" s="222"/>
      <c r="AX248" s="222"/>
    </row>
    <row r="249" spans="1:50" ht="15.75" customHeight="1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222"/>
      <c r="AM249" s="222"/>
      <c r="AN249" s="222"/>
      <c r="AO249" s="222"/>
      <c r="AP249" s="222"/>
      <c r="AQ249" s="222"/>
      <c r="AR249" s="222"/>
      <c r="AS249" s="222"/>
      <c r="AT249" s="222"/>
      <c r="AU249" s="222"/>
      <c r="AV249" s="222"/>
      <c r="AW249" s="222"/>
      <c r="AX249" s="222"/>
    </row>
    <row r="250" spans="1:50" ht="15.75" customHeight="1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  <c r="AC250" s="222"/>
      <c r="AD250" s="222"/>
      <c r="AE250" s="222"/>
      <c r="AF250" s="222"/>
      <c r="AG250" s="222"/>
      <c r="AH250" s="222"/>
      <c r="AI250" s="222"/>
      <c r="AJ250" s="222"/>
      <c r="AK250" s="222"/>
      <c r="AL250" s="222"/>
      <c r="AM250" s="222"/>
      <c r="AN250" s="222"/>
      <c r="AO250" s="222"/>
      <c r="AP250" s="222"/>
      <c r="AQ250" s="222"/>
      <c r="AR250" s="222"/>
      <c r="AS250" s="222"/>
      <c r="AT250" s="222"/>
      <c r="AU250" s="222"/>
      <c r="AV250" s="222"/>
      <c r="AW250" s="222"/>
      <c r="AX250" s="222"/>
    </row>
    <row r="251" spans="1:50" ht="15.75" customHeight="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2"/>
      <c r="AL251" s="222"/>
      <c r="AM251" s="222"/>
      <c r="AN251" s="222"/>
      <c r="AO251" s="222"/>
      <c r="AP251" s="222"/>
      <c r="AQ251" s="222"/>
      <c r="AR251" s="222"/>
      <c r="AS251" s="222"/>
      <c r="AT251" s="222"/>
      <c r="AU251" s="222"/>
      <c r="AV251" s="222"/>
      <c r="AW251" s="222"/>
      <c r="AX251" s="222"/>
    </row>
    <row r="252" spans="1:50" ht="15.75" customHeight="1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</row>
    <row r="253" spans="1:50" ht="15.75" customHeight="1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  <c r="AC253" s="222"/>
      <c r="AD253" s="222"/>
      <c r="AE253" s="222"/>
      <c r="AF253" s="222"/>
      <c r="AG253" s="222"/>
      <c r="AH253" s="222"/>
      <c r="AI253" s="222"/>
      <c r="AJ253" s="222"/>
      <c r="AK253" s="222"/>
      <c r="AL253" s="222"/>
      <c r="AM253" s="222"/>
      <c r="AN253" s="222"/>
      <c r="AO253" s="222"/>
      <c r="AP253" s="222"/>
      <c r="AQ253" s="222"/>
      <c r="AR253" s="222"/>
      <c r="AS253" s="222"/>
      <c r="AT253" s="222"/>
      <c r="AU253" s="222"/>
      <c r="AV253" s="222"/>
      <c r="AW253" s="222"/>
      <c r="AX253" s="222"/>
    </row>
    <row r="254" spans="1:50" ht="15.75" customHeight="1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  <c r="AC254" s="222"/>
      <c r="AD254" s="222"/>
      <c r="AE254" s="222"/>
      <c r="AF254" s="222"/>
      <c r="AG254" s="222"/>
      <c r="AH254" s="222"/>
      <c r="AI254" s="222"/>
      <c r="AJ254" s="222"/>
      <c r="AK254" s="222"/>
      <c r="AL254" s="222"/>
      <c r="AM254" s="222"/>
      <c r="AN254" s="222"/>
      <c r="AO254" s="222"/>
      <c r="AP254" s="222"/>
      <c r="AQ254" s="222"/>
      <c r="AR254" s="222"/>
      <c r="AS254" s="222"/>
      <c r="AT254" s="222"/>
      <c r="AU254" s="222"/>
      <c r="AV254" s="222"/>
      <c r="AW254" s="222"/>
      <c r="AX254" s="222"/>
    </row>
    <row r="255" spans="1:50" ht="15.75" customHeight="1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  <c r="AC255" s="222"/>
      <c r="AD255" s="222"/>
      <c r="AE255" s="222"/>
      <c r="AF255" s="222"/>
      <c r="AG255" s="222"/>
      <c r="AH255" s="222"/>
      <c r="AI255" s="222"/>
      <c r="AJ255" s="222"/>
      <c r="AK255" s="222"/>
      <c r="AL255" s="222"/>
      <c r="AM255" s="222"/>
      <c r="AN255" s="222"/>
      <c r="AO255" s="222"/>
      <c r="AP255" s="222"/>
      <c r="AQ255" s="222"/>
      <c r="AR255" s="222"/>
      <c r="AS255" s="222"/>
      <c r="AT255" s="222"/>
      <c r="AU255" s="222"/>
      <c r="AV255" s="222"/>
      <c r="AW255" s="222"/>
      <c r="AX255" s="222"/>
    </row>
    <row r="256" spans="1:50" ht="15.75" customHeight="1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  <c r="AM256" s="222"/>
      <c r="AN256" s="222"/>
      <c r="AO256" s="222"/>
      <c r="AP256" s="222"/>
      <c r="AQ256" s="222"/>
      <c r="AR256" s="222"/>
      <c r="AS256" s="222"/>
      <c r="AT256" s="222"/>
      <c r="AU256" s="222"/>
      <c r="AV256" s="222"/>
      <c r="AW256" s="222"/>
      <c r="AX256" s="222"/>
    </row>
    <row r="257" spans="1:50" ht="15.75" customHeight="1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  <c r="AC257" s="222"/>
      <c r="AD257" s="222"/>
      <c r="AE257" s="222"/>
      <c r="AF257" s="222"/>
      <c r="AG257" s="222"/>
      <c r="AH257" s="222"/>
      <c r="AI257" s="222"/>
      <c r="AJ257" s="222"/>
      <c r="AK257" s="222"/>
      <c r="AL257" s="222"/>
      <c r="AM257" s="222"/>
      <c r="AN257" s="222"/>
      <c r="AO257" s="222"/>
      <c r="AP257" s="222"/>
      <c r="AQ257" s="222"/>
      <c r="AR257" s="222"/>
      <c r="AS257" s="222"/>
      <c r="AT257" s="222"/>
      <c r="AU257" s="222"/>
      <c r="AV257" s="222"/>
      <c r="AW257" s="222"/>
      <c r="AX257" s="222"/>
    </row>
    <row r="258" spans="1:50" ht="15.75" customHeight="1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222"/>
      <c r="AM258" s="222"/>
      <c r="AN258" s="222"/>
      <c r="AO258" s="222"/>
      <c r="AP258" s="222"/>
      <c r="AQ258" s="222"/>
      <c r="AR258" s="222"/>
      <c r="AS258" s="222"/>
      <c r="AT258" s="222"/>
      <c r="AU258" s="222"/>
      <c r="AV258" s="222"/>
      <c r="AW258" s="222"/>
      <c r="AX258" s="222"/>
    </row>
    <row r="259" spans="1:50" ht="15.75" customHeight="1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222"/>
      <c r="AP259" s="222"/>
      <c r="AQ259" s="222"/>
      <c r="AR259" s="222"/>
      <c r="AS259" s="222"/>
      <c r="AT259" s="222"/>
      <c r="AU259" s="222"/>
      <c r="AV259" s="222"/>
      <c r="AW259" s="222"/>
      <c r="AX259" s="222"/>
    </row>
    <row r="260" spans="1:50" ht="15.75" customHeight="1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222"/>
      <c r="AP260" s="222"/>
      <c r="AQ260" s="222"/>
      <c r="AR260" s="222"/>
      <c r="AS260" s="222"/>
      <c r="AT260" s="222"/>
      <c r="AU260" s="222"/>
      <c r="AV260" s="222"/>
      <c r="AW260" s="222"/>
      <c r="AX260" s="222"/>
    </row>
    <row r="261" spans="1:50" ht="15.75" customHeight="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222"/>
      <c r="AP261" s="222"/>
      <c r="AQ261" s="222"/>
      <c r="AR261" s="222"/>
      <c r="AS261" s="222"/>
      <c r="AT261" s="222"/>
      <c r="AU261" s="222"/>
      <c r="AV261" s="222"/>
      <c r="AW261" s="222"/>
      <c r="AX261" s="222"/>
    </row>
    <row r="262" spans="1:50" ht="15.75" customHeight="1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/>
      <c r="AL262" s="222"/>
      <c r="AM262" s="222"/>
      <c r="AN262" s="222"/>
      <c r="AO262" s="222"/>
      <c r="AP262" s="222"/>
      <c r="AQ262" s="222"/>
      <c r="AR262" s="222"/>
      <c r="AS262" s="222"/>
      <c r="AT262" s="222"/>
      <c r="AU262" s="222"/>
      <c r="AV262" s="222"/>
      <c r="AW262" s="222"/>
      <c r="AX262" s="222"/>
    </row>
    <row r="263" spans="1:50" ht="15.75" customHeight="1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/>
      <c r="AL263" s="222"/>
      <c r="AM263" s="222"/>
      <c r="AN263" s="222"/>
      <c r="AO263" s="222"/>
      <c r="AP263" s="222"/>
      <c r="AQ263" s="222"/>
      <c r="AR263" s="222"/>
      <c r="AS263" s="222"/>
      <c r="AT263" s="222"/>
      <c r="AU263" s="222"/>
      <c r="AV263" s="222"/>
      <c r="AW263" s="222"/>
      <c r="AX263" s="222"/>
    </row>
    <row r="264" spans="1:50" ht="15.75" customHeight="1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/>
      <c r="AL264" s="222"/>
      <c r="AM264" s="222"/>
      <c r="AN264" s="222"/>
      <c r="AO264" s="222"/>
      <c r="AP264" s="222"/>
      <c r="AQ264" s="222"/>
      <c r="AR264" s="222"/>
      <c r="AS264" s="222"/>
      <c r="AT264" s="222"/>
      <c r="AU264" s="222"/>
      <c r="AV264" s="222"/>
      <c r="AW264" s="222"/>
      <c r="AX264" s="222"/>
    </row>
    <row r="265" spans="1:50" ht="15.75" customHeight="1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/>
      <c r="AL265" s="222"/>
      <c r="AM265" s="222"/>
      <c r="AN265" s="222"/>
      <c r="AO265" s="222"/>
      <c r="AP265" s="222"/>
      <c r="AQ265" s="222"/>
      <c r="AR265" s="222"/>
      <c r="AS265" s="222"/>
      <c r="AT265" s="222"/>
      <c r="AU265" s="222"/>
      <c r="AV265" s="222"/>
      <c r="AW265" s="222"/>
      <c r="AX265" s="222"/>
    </row>
    <row r="266" spans="1:50" ht="15.75" customHeight="1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  <c r="AC266" s="222"/>
      <c r="AD266" s="222"/>
      <c r="AE266" s="222"/>
      <c r="AF266" s="222"/>
      <c r="AG266" s="222"/>
      <c r="AH266" s="222"/>
      <c r="AI266" s="222"/>
      <c r="AJ266" s="222"/>
      <c r="AK266" s="222"/>
      <c r="AL266" s="222"/>
      <c r="AM266" s="222"/>
      <c r="AN266" s="222"/>
      <c r="AO266" s="222"/>
      <c r="AP266" s="222"/>
      <c r="AQ266" s="222"/>
      <c r="AR266" s="222"/>
      <c r="AS266" s="222"/>
      <c r="AT266" s="222"/>
      <c r="AU266" s="222"/>
      <c r="AV266" s="222"/>
      <c r="AW266" s="222"/>
      <c r="AX266" s="222"/>
    </row>
    <row r="267" spans="1:50" ht="15.75" customHeight="1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/>
      <c r="AL267" s="222"/>
      <c r="AM267" s="222"/>
      <c r="AN267" s="222"/>
      <c r="AO267" s="222"/>
      <c r="AP267" s="222"/>
      <c r="AQ267" s="222"/>
      <c r="AR267" s="222"/>
      <c r="AS267" s="222"/>
      <c r="AT267" s="222"/>
      <c r="AU267" s="222"/>
      <c r="AV267" s="222"/>
      <c r="AW267" s="222"/>
      <c r="AX267" s="222"/>
    </row>
    <row r="268" spans="1:50" ht="15.75" customHeight="1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/>
      <c r="AL268" s="222"/>
      <c r="AM268" s="222"/>
      <c r="AN268" s="222"/>
      <c r="AO268" s="222"/>
      <c r="AP268" s="222"/>
      <c r="AQ268" s="222"/>
      <c r="AR268" s="222"/>
      <c r="AS268" s="222"/>
      <c r="AT268" s="222"/>
      <c r="AU268" s="222"/>
      <c r="AV268" s="222"/>
      <c r="AW268" s="222"/>
      <c r="AX268" s="222"/>
    </row>
    <row r="269" spans="1:50" ht="15.75" customHeight="1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/>
      <c r="AL269" s="222"/>
      <c r="AM269" s="222"/>
      <c r="AN269" s="222"/>
      <c r="AO269" s="222"/>
      <c r="AP269" s="222"/>
      <c r="AQ269" s="222"/>
      <c r="AR269" s="222"/>
      <c r="AS269" s="222"/>
      <c r="AT269" s="222"/>
      <c r="AU269" s="222"/>
      <c r="AV269" s="222"/>
      <c r="AW269" s="222"/>
      <c r="AX269" s="222"/>
    </row>
    <row r="270" spans="1:50" ht="15.75" customHeight="1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  <c r="AC270" s="222"/>
      <c r="AD270" s="222"/>
      <c r="AE270" s="222"/>
      <c r="AF270" s="222"/>
      <c r="AG270" s="222"/>
      <c r="AH270" s="222"/>
      <c r="AI270" s="222"/>
      <c r="AJ270" s="222"/>
      <c r="AK270" s="222"/>
      <c r="AL270" s="222"/>
      <c r="AM270" s="222"/>
      <c r="AN270" s="222"/>
      <c r="AO270" s="222"/>
      <c r="AP270" s="222"/>
      <c r="AQ270" s="222"/>
      <c r="AR270" s="222"/>
      <c r="AS270" s="222"/>
      <c r="AT270" s="222"/>
      <c r="AU270" s="222"/>
      <c r="AV270" s="222"/>
      <c r="AW270" s="222"/>
      <c r="AX270" s="222"/>
    </row>
    <row r="271" spans="1:50" ht="15.75" customHeight="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  <c r="AM271" s="222"/>
      <c r="AN271" s="222"/>
      <c r="AO271" s="222"/>
      <c r="AP271" s="222"/>
      <c r="AQ271" s="222"/>
      <c r="AR271" s="222"/>
      <c r="AS271" s="222"/>
      <c r="AT271" s="222"/>
      <c r="AU271" s="222"/>
      <c r="AV271" s="222"/>
      <c r="AW271" s="222"/>
      <c r="AX271" s="222"/>
    </row>
    <row r="272" spans="1:50" ht="15.75" customHeight="1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222"/>
      <c r="AP272" s="222"/>
      <c r="AQ272" s="222"/>
      <c r="AR272" s="222"/>
      <c r="AS272" s="222"/>
      <c r="AT272" s="222"/>
      <c r="AU272" s="222"/>
      <c r="AV272" s="222"/>
      <c r="AW272" s="222"/>
      <c r="AX272" s="222"/>
    </row>
    <row r="273" spans="1:50" ht="15.75" customHeight="1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  <c r="AC273" s="222"/>
      <c r="AD273" s="222"/>
      <c r="AE273" s="222"/>
      <c r="AF273" s="222"/>
      <c r="AG273" s="222"/>
      <c r="AH273" s="222"/>
      <c r="AI273" s="222"/>
      <c r="AJ273" s="222"/>
      <c r="AK273" s="222"/>
      <c r="AL273" s="222"/>
      <c r="AM273" s="222"/>
      <c r="AN273" s="222"/>
      <c r="AO273" s="222"/>
      <c r="AP273" s="222"/>
      <c r="AQ273" s="222"/>
      <c r="AR273" s="222"/>
      <c r="AS273" s="222"/>
      <c r="AT273" s="222"/>
      <c r="AU273" s="222"/>
      <c r="AV273" s="222"/>
      <c r="AW273" s="222"/>
      <c r="AX273" s="222"/>
    </row>
    <row r="274" spans="1:50" ht="15.75" customHeight="1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  <c r="AC274" s="222"/>
      <c r="AD274" s="222"/>
      <c r="AE274" s="222"/>
      <c r="AF274" s="222"/>
      <c r="AG274" s="222"/>
      <c r="AH274" s="222"/>
      <c r="AI274" s="222"/>
      <c r="AJ274" s="222"/>
      <c r="AK274" s="222"/>
      <c r="AL274" s="222"/>
      <c r="AM274" s="222"/>
      <c r="AN274" s="222"/>
      <c r="AO274" s="222"/>
      <c r="AP274" s="222"/>
      <c r="AQ274" s="222"/>
      <c r="AR274" s="222"/>
      <c r="AS274" s="222"/>
      <c r="AT274" s="222"/>
      <c r="AU274" s="222"/>
      <c r="AV274" s="222"/>
      <c r="AW274" s="222"/>
      <c r="AX274" s="222"/>
    </row>
    <row r="275" spans="1:50" ht="15.75" customHeight="1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222"/>
      <c r="AP275" s="222"/>
      <c r="AQ275" s="222"/>
      <c r="AR275" s="222"/>
      <c r="AS275" s="222"/>
      <c r="AT275" s="222"/>
      <c r="AU275" s="222"/>
      <c r="AV275" s="222"/>
      <c r="AW275" s="222"/>
      <c r="AX275" s="222"/>
    </row>
    <row r="276" spans="1:50" ht="15.75" customHeight="1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222"/>
      <c r="AP276" s="222"/>
      <c r="AQ276" s="222"/>
      <c r="AR276" s="222"/>
      <c r="AS276" s="222"/>
      <c r="AT276" s="222"/>
      <c r="AU276" s="222"/>
      <c r="AV276" s="222"/>
      <c r="AW276" s="222"/>
      <c r="AX276" s="222"/>
    </row>
    <row r="277" spans="1:50" ht="15.75" customHeight="1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222"/>
      <c r="AP277" s="222"/>
      <c r="AQ277" s="222"/>
      <c r="AR277" s="222"/>
      <c r="AS277" s="222"/>
      <c r="AT277" s="222"/>
      <c r="AU277" s="222"/>
      <c r="AV277" s="222"/>
      <c r="AW277" s="222"/>
      <c r="AX277" s="222"/>
    </row>
    <row r="278" spans="1:50" ht="15.75" customHeight="1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222"/>
      <c r="AP278" s="222"/>
      <c r="AQ278" s="222"/>
      <c r="AR278" s="222"/>
      <c r="AS278" s="222"/>
      <c r="AT278" s="222"/>
      <c r="AU278" s="222"/>
      <c r="AV278" s="222"/>
      <c r="AW278" s="222"/>
      <c r="AX278" s="222"/>
    </row>
    <row r="279" spans="1:50" ht="15.75" customHeight="1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222"/>
      <c r="AP279" s="222"/>
      <c r="AQ279" s="222"/>
      <c r="AR279" s="222"/>
      <c r="AS279" s="222"/>
      <c r="AT279" s="222"/>
      <c r="AU279" s="222"/>
      <c r="AV279" s="222"/>
      <c r="AW279" s="222"/>
      <c r="AX279" s="222"/>
    </row>
    <row r="280" spans="1:50" ht="15.75" customHeight="1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222"/>
      <c r="AP280" s="222"/>
      <c r="AQ280" s="222"/>
      <c r="AR280" s="222"/>
      <c r="AS280" s="222"/>
      <c r="AT280" s="222"/>
      <c r="AU280" s="222"/>
      <c r="AV280" s="222"/>
      <c r="AW280" s="222"/>
      <c r="AX280" s="222"/>
    </row>
    <row r="281" spans="1:50" ht="15.75" customHeight="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222"/>
      <c r="AP281" s="222"/>
      <c r="AQ281" s="222"/>
      <c r="AR281" s="222"/>
      <c r="AS281" s="222"/>
      <c r="AT281" s="222"/>
      <c r="AU281" s="222"/>
      <c r="AV281" s="222"/>
      <c r="AW281" s="222"/>
      <c r="AX281" s="222"/>
    </row>
    <row r="282" spans="1:50" ht="15.75" customHeight="1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222"/>
      <c r="AP282" s="222"/>
      <c r="AQ282" s="222"/>
      <c r="AR282" s="222"/>
      <c r="AS282" s="222"/>
      <c r="AT282" s="222"/>
      <c r="AU282" s="222"/>
      <c r="AV282" s="222"/>
      <c r="AW282" s="222"/>
      <c r="AX282" s="222"/>
    </row>
    <row r="283" spans="1:50" ht="15.75" customHeight="1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222"/>
      <c r="AP283" s="222"/>
      <c r="AQ283" s="222"/>
      <c r="AR283" s="222"/>
      <c r="AS283" s="222"/>
      <c r="AT283" s="222"/>
      <c r="AU283" s="222"/>
      <c r="AV283" s="222"/>
      <c r="AW283" s="222"/>
      <c r="AX283" s="222"/>
    </row>
    <row r="284" spans="1:50" ht="15.75" customHeight="1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222"/>
      <c r="AP284" s="222"/>
      <c r="AQ284" s="222"/>
      <c r="AR284" s="222"/>
      <c r="AS284" s="222"/>
      <c r="AT284" s="222"/>
      <c r="AU284" s="222"/>
      <c r="AV284" s="222"/>
      <c r="AW284" s="222"/>
      <c r="AX284" s="222"/>
    </row>
    <row r="285" spans="1:50" ht="15.75" customHeight="1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222"/>
      <c r="AP285" s="222"/>
      <c r="AQ285" s="222"/>
      <c r="AR285" s="222"/>
      <c r="AS285" s="222"/>
      <c r="AT285" s="222"/>
      <c r="AU285" s="222"/>
      <c r="AV285" s="222"/>
      <c r="AW285" s="222"/>
      <c r="AX285" s="222"/>
    </row>
    <row r="286" spans="1:50" ht="15.75" customHeight="1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222"/>
      <c r="AP286" s="222"/>
      <c r="AQ286" s="222"/>
      <c r="AR286" s="222"/>
      <c r="AS286" s="222"/>
      <c r="AT286" s="222"/>
      <c r="AU286" s="222"/>
      <c r="AV286" s="222"/>
      <c r="AW286" s="222"/>
      <c r="AX286" s="222"/>
    </row>
    <row r="287" spans="1:50" ht="15.75" customHeight="1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222"/>
      <c r="AP287" s="222"/>
      <c r="AQ287" s="222"/>
      <c r="AR287" s="222"/>
      <c r="AS287" s="222"/>
      <c r="AT287" s="222"/>
      <c r="AU287" s="222"/>
      <c r="AV287" s="222"/>
      <c r="AW287" s="222"/>
      <c r="AX287" s="222"/>
    </row>
    <row r="288" spans="1:50" ht="15.75" customHeight="1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222"/>
      <c r="AP288" s="222"/>
      <c r="AQ288" s="222"/>
      <c r="AR288" s="222"/>
      <c r="AS288" s="222"/>
      <c r="AT288" s="222"/>
      <c r="AU288" s="222"/>
      <c r="AV288" s="222"/>
      <c r="AW288" s="222"/>
      <c r="AX288" s="222"/>
    </row>
    <row r="289" spans="1:50" ht="15.75" customHeight="1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222"/>
      <c r="AP289" s="222"/>
      <c r="AQ289" s="222"/>
      <c r="AR289" s="222"/>
      <c r="AS289" s="222"/>
      <c r="AT289" s="222"/>
      <c r="AU289" s="222"/>
      <c r="AV289" s="222"/>
      <c r="AW289" s="222"/>
      <c r="AX289" s="222"/>
    </row>
    <row r="290" spans="1:50" ht="15.75" customHeight="1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222"/>
      <c r="AP290" s="222"/>
      <c r="AQ290" s="222"/>
      <c r="AR290" s="222"/>
      <c r="AS290" s="222"/>
      <c r="AT290" s="222"/>
      <c r="AU290" s="222"/>
      <c r="AV290" s="222"/>
      <c r="AW290" s="222"/>
      <c r="AX290" s="222"/>
    </row>
    <row r="291" spans="1:50" ht="15.75" customHeight="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222"/>
      <c r="AP291" s="222"/>
      <c r="AQ291" s="222"/>
      <c r="AR291" s="222"/>
      <c r="AS291" s="222"/>
      <c r="AT291" s="222"/>
      <c r="AU291" s="222"/>
      <c r="AV291" s="222"/>
      <c r="AW291" s="222"/>
      <c r="AX291" s="222"/>
    </row>
    <row r="292" spans="1:50" ht="15.75" customHeight="1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222"/>
      <c r="AP292" s="222"/>
      <c r="AQ292" s="222"/>
      <c r="AR292" s="222"/>
      <c r="AS292" s="222"/>
      <c r="AT292" s="222"/>
      <c r="AU292" s="222"/>
      <c r="AV292" s="222"/>
      <c r="AW292" s="222"/>
      <c r="AX292" s="222"/>
    </row>
    <row r="293" spans="1:50" ht="15.75" customHeight="1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222"/>
      <c r="AP293" s="222"/>
      <c r="AQ293" s="222"/>
      <c r="AR293" s="222"/>
      <c r="AS293" s="222"/>
      <c r="AT293" s="222"/>
      <c r="AU293" s="222"/>
      <c r="AV293" s="222"/>
      <c r="AW293" s="222"/>
      <c r="AX293" s="222"/>
    </row>
    <row r="294" spans="1:50" ht="15.75" customHeight="1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222"/>
      <c r="AP294" s="222"/>
      <c r="AQ294" s="222"/>
      <c r="AR294" s="222"/>
      <c r="AS294" s="222"/>
      <c r="AT294" s="222"/>
      <c r="AU294" s="222"/>
      <c r="AV294" s="222"/>
      <c r="AW294" s="222"/>
      <c r="AX294" s="222"/>
    </row>
    <row r="295" spans="1:50" ht="15.75" customHeight="1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222"/>
      <c r="AP295" s="222"/>
      <c r="AQ295" s="222"/>
      <c r="AR295" s="222"/>
      <c r="AS295" s="222"/>
      <c r="AT295" s="222"/>
      <c r="AU295" s="222"/>
      <c r="AV295" s="222"/>
      <c r="AW295" s="222"/>
      <c r="AX295" s="222"/>
    </row>
    <row r="296" spans="1:50" ht="15.75" customHeight="1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222"/>
      <c r="AP296" s="222"/>
      <c r="AQ296" s="222"/>
      <c r="AR296" s="222"/>
      <c r="AS296" s="222"/>
      <c r="AT296" s="222"/>
      <c r="AU296" s="222"/>
      <c r="AV296" s="222"/>
      <c r="AW296" s="222"/>
      <c r="AX296" s="222"/>
    </row>
    <row r="297" spans="1:50" ht="15.75" customHeight="1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222"/>
      <c r="AP297" s="222"/>
      <c r="AQ297" s="222"/>
      <c r="AR297" s="222"/>
      <c r="AS297" s="222"/>
      <c r="AT297" s="222"/>
      <c r="AU297" s="222"/>
      <c r="AV297" s="222"/>
      <c r="AW297" s="222"/>
      <c r="AX297" s="222"/>
    </row>
    <row r="298" spans="1:50" ht="15.75" customHeight="1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222"/>
      <c r="AP298" s="222"/>
      <c r="AQ298" s="222"/>
      <c r="AR298" s="222"/>
      <c r="AS298" s="222"/>
      <c r="AT298" s="222"/>
      <c r="AU298" s="222"/>
      <c r="AV298" s="222"/>
      <c r="AW298" s="222"/>
      <c r="AX298" s="222"/>
    </row>
    <row r="299" spans="1:50" ht="15.75" customHeight="1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222"/>
      <c r="AP299" s="222"/>
      <c r="AQ299" s="222"/>
      <c r="AR299" s="222"/>
      <c r="AS299" s="222"/>
      <c r="AT299" s="222"/>
      <c r="AU299" s="222"/>
      <c r="AV299" s="222"/>
      <c r="AW299" s="222"/>
      <c r="AX299" s="222"/>
    </row>
    <row r="300" spans="1:50" ht="15.75" customHeight="1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222"/>
      <c r="AP300" s="222"/>
      <c r="AQ300" s="222"/>
      <c r="AR300" s="222"/>
      <c r="AS300" s="222"/>
      <c r="AT300" s="222"/>
      <c r="AU300" s="222"/>
      <c r="AV300" s="222"/>
      <c r="AW300" s="222"/>
      <c r="AX300" s="222"/>
    </row>
    <row r="301" spans="1:50" ht="15.75" customHeight="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222"/>
      <c r="AP301" s="222"/>
      <c r="AQ301" s="222"/>
      <c r="AR301" s="222"/>
      <c r="AS301" s="222"/>
      <c r="AT301" s="222"/>
      <c r="AU301" s="222"/>
      <c r="AV301" s="222"/>
      <c r="AW301" s="222"/>
      <c r="AX301" s="222"/>
    </row>
    <row r="302" spans="1:50" ht="15.75" customHeight="1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222"/>
      <c r="AP302" s="222"/>
      <c r="AQ302" s="222"/>
      <c r="AR302" s="222"/>
      <c r="AS302" s="222"/>
      <c r="AT302" s="222"/>
      <c r="AU302" s="222"/>
      <c r="AV302" s="222"/>
      <c r="AW302" s="222"/>
      <c r="AX302" s="222"/>
    </row>
    <row r="303" spans="1:50" ht="15.75" customHeight="1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222"/>
      <c r="AP303" s="222"/>
      <c r="AQ303" s="222"/>
      <c r="AR303" s="222"/>
      <c r="AS303" s="222"/>
      <c r="AT303" s="222"/>
      <c r="AU303" s="222"/>
      <c r="AV303" s="222"/>
      <c r="AW303" s="222"/>
      <c r="AX303" s="222"/>
    </row>
    <row r="304" spans="1:50" ht="15.75" customHeight="1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222"/>
      <c r="AP304" s="222"/>
      <c r="AQ304" s="222"/>
      <c r="AR304" s="222"/>
      <c r="AS304" s="222"/>
      <c r="AT304" s="222"/>
      <c r="AU304" s="222"/>
      <c r="AV304" s="222"/>
      <c r="AW304" s="222"/>
      <c r="AX304" s="222"/>
    </row>
    <row r="305" spans="1:50" ht="15.75" customHeight="1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222"/>
      <c r="AP305" s="222"/>
      <c r="AQ305" s="222"/>
      <c r="AR305" s="222"/>
      <c r="AS305" s="222"/>
      <c r="AT305" s="222"/>
      <c r="AU305" s="222"/>
      <c r="AV305" s="222"/>
      <c r="AW305" s="222"/>
      <c r="AX305" s="222"/>
    </row>
    <row r="306" spans="1:50" ht="15.75" customHeight="1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222"/>
      <c r="AP306" s="222"/>
      <c r="AQ306" s="222"/>
      <c r="AR306" s="222"/>
      <c r="AS306" s="222"/>
      <c r="AT306" s="222"/>
      <c r="AU306" s="222"/>
      <c r="AV306" s="222"/>
      <c r="AW306" s="222"/>
      <c r="AX306" s="222"/>
    </row>
    <row r="307" spans="1:50" ht="15.75" customHeight="1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222"/>
      <c r="AP307" s="222"/>
      <c r="AQ307" s="222"/>
      <c r="AR307" s="222"/>
      <c r="AS307" s="222"/>
      <c r="AT307" s="222"/>
      <c r="AU307" s="222"/>
      <c r="AV307" s="222"/>
      <c r="AW307" s="222"/>
      <c r="AX307" s="222"/>
    </row>
    <row r="308" spans="1:50" ht="15.75" customHeight="1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222"/>
      <c r="AP308" s="222"/>
      <c r="AQ308" s="222"/>
      <c r="AR308" s="222"/>
      <c r="AS308" s="222"/>
      <c r="AT308" s="222"/>
      <c r="AU308" s="222"/>
      <c r="AV308" s="222"/>
      <c r="AW308" s="222"/>
      <c r="AX308" s="222"/>
    </row>
    <row r="309" spans="1:50" ht="15.75" customHeight="1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222"/>
      <c r="AP309" s="222"/>
      <c r="AQ309" s="222"/>
      <c r="AR309" s="222"/>
      <c r="AS309" s="222"/>
      <c r="AT309" s="222"/>
      <c r="AU309" s="222"/>
      <c r="AV309" s="222"/>
      <c r="AW309" s="222"/>
      <c r="AX309" s="222"/>
    </row>
    <row r="310" spans="1:50" ht="15.75" customHeight="1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222"/>
      <c r="AP310" s="222"/>
      <c r="AQ310" s="222"/>
      <c r="AR310" s="222"/>
      <c r="AS310" s="222"/>
      <c r="AT310" s="222"/>
      <c r="AU310" s="222"/>
      <c r="AV310" s="222"/>
      <c r="AW310" s="222"/>
      <c r="AX310" s="222"/>
    </row>
    <row r="311" spans="1:50" ht="15.75" customHeight="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222"/>
      <c r="AP311" s="222"/>
      <c r="AQ311" s="222"/>
      <c r="AR311" s="222"/>
      <c r="AS311" s="222"/>
      <c r="AT311" s="222"/>
      <c r="AU311" s="222"/>
      <c r="AV311" s="222"/>
      <c r="AW311" s="222"/>
      <c r="AX311" s="222"/>
    </row>
    <row r="312" spans="1:50" ht="15.75" customHeight="1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222"/>
      <c r="AP312" s="222"/>
      <c r="AQ312" s="222"/>
      <c r="AR312" s="222"/>
      <c r="AS312" s="222"/>
      <c r="AT312" s="222"/>
      <c r="AU312" s="222"/>
      <c r="AV312" s="222"/>
      <c r="AW312" s="222"/>
      <c r="AX312" s="222"/>
    </row>
    <row r="313" spans="1:50" ht="15.75" customHeight="1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222"/>
      <c r="AP313" s="222"/>
      <c r="AQ313" s="222"/>
      <c r="AR313" s="222"/>
      <c r="AS313" s="222"/>
      <c r="AT313" s="222"/>
      <c r="AU313" s="222"/>
      <c r="AV313" s="222"/>
      <c r="AW313" s="222"/>
      <c r="AX313" s="222"/>
    </row>
    <row r="314" spans="1:50" ht="15.75" customHeight="1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</row>
    <row r="315" spans="1:50" ht="15.75" customHeight="1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222"/>
      <c r="AP315" s="222"/>
      <c r="AQ315" s="222"/>
      <c r="AR315" s="222"/>
      <c r="AS315" s="222"/>
      <c r="AT315" s="222"/>
      <c r="AU315" s="222"/>
      <c r="AV315" s="222"/>
      <c r="AW315" s="222"/>
      <c r="AX315" s="222"/>
    </row>
    <row r="316" spans="1:50" ht="15.75" customHeight="1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222"/>
      <c r="AP316" s="222"/>
      <c r="AQ316" s="222"/>
      <c r="AR316" s="222"/>
      <c r="AS316" s="222"/>
      <c r="AT316" s="222"/>
      <c r="AU316" s="222"/>
      <c r="AV316" s="222"/>
      <c r="AW316" s="222"/>
      <c r="AX316" s="222"/>
    </row>
    <row r="317" spans="1:50" ht="15.75" customHeight="1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222"/>
      <c r="AP317" s="222"/>
      <c r="AQ317" s="222"/>
      <c r="AR317" s="222"/>
      <c r="AS317" s="222"/>
      <c r="AT317" s="222"/>
      <c r="AU317" s="222"/>
      <c r="AV317" s="222"/>
      <c r="AW317" s="222"/>
      <c r="AX317" s="222"/>
    </row>
    <row r="318" spans="1:50" ht="15.75" customHeight="1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222"/>
      <c r="AP318" s="222"/>
      <c r="AQ318" s="222"/>
      <c r="AR318" s="222"/>
      <c r="AS318" s="222"/>
      <c r="AT318" s="222"/>
      <c r="AU318" s="222"/>
      <c r="AV318" s="222"/>
      <c r="AW318" s="222"/>
      <c r="AX318" s="222"/>
    </row>
    <row r="319" spans="1:50" ht="15.75" customHeight="1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222"/>
      <c r="AP319" s="222"/>
      <c r="AQ319" s="222"/>
      <c r="AR319" s="222"/>
      <c r="AS319" s="222"/>
      <c r="AT319" s="222"/>
      <c r="AU319" s="222"/>
      <c r="AV319" s="222"/>
      <c r="AW319" s="222"/>
      <c r="AX319" s="222"/>
    </row>
    <row r="320" spans="1:50" ht="15.75" customHeight="1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222"/>
      <c r="AP320" s="222"/>
      <c r="AQ320" s="222"/>
      <c r="AR320" s="222"/>
      <c r="AS320" s="222"/>
      <c r="AT320" s="222"/>
      <c r="AU320" s="222"/>
      <c r="AV320" s="222"/>
      <c r="AW320" s="222"/>
      <c r="AX320" s="222"/>
    </row>
    <row r="321" spans="1:50" ht="15.75" customHeight="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222"/>
      <c r="AP321" s="222"/>
      <c r="AQ321" s="222"/>
      <c r="AR321" s="222"/>
      <c r="AS321" s="222"/>
      <c r="AT321" s="222"/>
      <c r="AU321" s="222"/>
      <c r="AV321" s="222"/>
      <c r="AW321" s="222"/>
      <c r="AX321" s="222"/>
    </row>
    <row r="322" spans="1:50" ht="15.75" customHeight="1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222"/>
      <c r="AP322" s="222"/>
      <c r="AQ322" s="222"/>
      <c r="AR322" s="222"/>
      <c r="AS322" s="222"/>
      <c r="AT322" s="222"/>
      <c r="AU322" s="222"/>
      <c r="AV322" s="222"/>
      <c r="AW322" s="222"/>
      <c r="AX322" s="222"/>
    </row>
    <row r="323" spans="1:50" ht="15.75" customHeight="1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222"/>
      <c r="AP323" s="222"/>
      <c r="AQ323" s="222"/>
      <c r="AR323" s="222"/>
      <c r="AS323" s="222"/>
      <c r="AT323" s="222"/>
      <c r="AU323" s="222"/>
      <c r="AV323" s="222"/>
      <c r="AW323" s="222"/>
      <c r="AX323" s="222"/>
    </row>
    <row r="324" spans="1:50" ht="15.75" customHeight="1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222"/>
      <c r="AP324" s="222"/>
      <c r="AQ324" s="222"/>
      <c r="AR324" s="222"/>
      <c r="AS324" s="222"/>
      <c r="AT324" s="222"/>
      <c r="AU324" s="222"/>
      <c r="AV324" s="222"/>
      <c r="AW324" s="222"/>
      <c r="AX324" s="222"/>
    </row>
    <row r="325" spans="1:50" ht="15.75" customHeight="1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222"/>
      <c r="AP325" s="222"/>
      <c r="AQ325" s="222"/>
      <c r="AR325" s="222"/>
      <c r="AS325" s="222"/>
      <c r="AT325" s="222"/>
      <c r="AU325" s="222"/>
      <c r="AV325" s="222"/>
      <c r="AW325" s="222"/>
      <c r="AX325" s="222"/>
    </row>
    <row r="326" spans="1:50" ht="15.75" customHeight="1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222"/>
      <c r="AP326" s="222"/>
      <c r="AQ326" s="222"/>
      <c r="AR326" s="222"/>
      <c r="AS326" s="222"/>
      <c r="AT326" s="222"/>
      <c r="AU326" s="222"/>
      <c r="AV326" s="222"/>
      <c r="AW326" s="222"/>
      <c r="AX326" s="222"/>
    </row>
    <row r="327" spans="1:50" ht="15.75" customHeight="1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222"/>
      <c r="AP327" s="222"/>
      <c r="AQ327" s="222"/>
      <c r="AR327" s="222"/>
      <c r="AS327" s="222"/>
      <c r="AT327" s="222"/>
      <c r="AU327" s="222"/>
      <c r="AV327" s="222"/>
      <c r="AW327" s="222"/>
      <c r="AX327" s="222"/>
    </row>
    <row r="328" spans="1:50" ht="15.75" customHeight="1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222"/>
      <c r="AP328" s="222"/>
      <c r="AQ328" s="222"/>
      <c r="AR328" s="222"/>
      <c r="AS328" s="222"/>
      <c r="AT328" s="222"/>
      <c r="AU328" s="222"/>
      <c r="AV328" s="222"/>
      <c r="AW328" s="222"/>
      <c r="AX328" s="222"/>
    </row>
    <row r="329" spans="1:50" ht="15.75" customHeight="1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222"/>
      <c r="AP329" s="222"/>
      <c r="AQ329" s="222"/>
      <c r="AR329" s="222"/>
      <c r="AS329" s="222"/>
      <c r="AT329" s="222"/>
      <c r="AU329" s="222"/>
      <c r="AV329" s="222"/>
      <c r="AW329" s="222"/>
      <c r="AX329" s="222"/>
    </row>
    <row r="330" spans="1:50" ht="15.75" customHeight="1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222"/>
      <c r="AP330" s="222"/>
      <c r="AQ330" s="222"/>
      <c r="AR330" s="222"/>
      <c r="AS330" s="222"/>
      <c r="AT330" s="222"/>
      <c r="AU330" s="222"/>
      <c r="AV330" s="222"/>
      <c r="AW330" s="222"/>
      <c r="AX330" s="222"/>
    </row>
    <row r="331" spans="1:50" ht="15.75" customHeight="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222"/>
      <c r="AP331" s="222"/>
      <c r="AQ331" s="222"/>
      <c r="AR331" s="222"/>
      <c r="AS331" s="222"/>
      <c r="AT331" s="222"/>
      <c r="AU331" s="222"/>
      <c r="AV331" s="222"/>
      <c r="AW331" s="222"/>
      <c r="AX331" s="222"/>
    </row>
    <row r="332" spans="1:50" ht="15.75" customHeight="1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222"/>
      <c r="AP332" s="222"/>
      <c r="AQ332" s="222"/>
      <c r="AR332" s="222"/>
      <c r="AS332" s="222"/>
      <c r="AT332" s="222"/>
      <c r="AU332" s="222"/>
      <c r="AV332" s="222"/>
      <c r="AW332" s="222"/>
      <c r="AX332" s="222"/>
    </row>
    <row r="333" spans="1:50" ht="15.75" customHeight="1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222"/>
      <c r="AP333" s="222"/>
      <c r="AQ333" s="222"/>
      <c r="AR333" s="222"/>
      <c r="AS333" s="222"/>
      <c r="AT333" s="222"/>
      <c r="AU333" s="222"/>
      <c r="AV333" s="222"/>
      <c r="AW333" s="222"/>
      <c r="AX333" s="222"/>
    </row>
    <row r="334" spans="1:50" ht="15.75" customHeight="1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222"/>
      <c r="AP334" s="222"/>
      <c r="AQ334" s="222"/>
      <c r="AR334" s="222"/>
      <c r="AS334" s="222"/>
      <c r="AT334" s="222"/>
      <c r="AU334" s="222"/>
      <c r="AV334" s="222"/>
      <c r="AW334" s="222"/>
      <c r="AX334" s="222"/>
    </row>
    <row r="335" spans="1:50" ht="15.75" customHeight="1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222"/>
      <c r="AP335" s="222"/>
      <c r="AQ335" s="222"/>
      <c r="AR335" s="222"/>
      <c r="AS335" s="222"/>
      <c r="AT335" s="222"/>
      <c r="AU335" s="222"/>
      <c r="AV335" s="222"/>
      <c r="AW335" s="222"/>
      <c r="AX335" s="222"/>
    </row>
    <row r="336" spans="1:50" ht="15.75" customHeight="1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222"/>
      <c r="AP336" s="222"/>
      <c r="AQ336" s="222"/>
      <c r="AR336" s="222"/>
      <c r="AS336" s="222"/>
      <c r="AT336" s="222"/>
      <c r="AU336" s="222"/>
      <c r="AV336" s="222"/>
      <c r="AW336" s="222"/>
      <c r="AX336" s="222"/>
    </row>
    <row r="337" spans="1:50" ht="15.75" customHeight="1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222"/>
      <c r="AP337" s="222"/>
      <c r="AQ337" s="222"/>
      <c r="AR337" s="222"/>
      <c r="AS337" s="222"/>
      <c r="AT337" s="222"/>
      <c r="AU337" s="222"/>
      <c r="AV337" s="222"/>
      <c r="AW337" s="222"/>
      <c r="AX337" s="222"/>
    </row>
    <row r="338" spans="1:50" ht="15.75" customHeight="1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222"/>
      <c r="AP338" s="222"/>
      <c r="AQ338" s="222"/>
      <c r="AR338" s="222"/>
      <c r="AS338" s="222"/>
      <c r="AT338" s="222"/>
      <c r="AU338" s="222"/>
      <c r="AV338" s="222"/>
      <c r="AW338" s="222"/>
      <c r="AX338" s="222"/>
    </row>
    <row r="339" spans="1:50" ht="15.75" customHeight="1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222"/>
      <c r="AP339" s="222"/>
      <c r="AQ339" s="222"/>
      <c r="AR339" s="222"/>
      <c r="AS339" s="222"/>
      <c r="AT339" s="222"/>
      <c r="AU339" s="222"/>
      <c r="AV339" s="222"/>
      <c r="AW339" s="222"/>
      <c r="AX339" s="222"/>
    </row>
    <row r="340" spans="1:50" ht="15.75" customHeight="1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222"/>
      <c r="AP340" s="222"/>
      <c r="AQ340" s="222"/>
      <c r="AR340" s="222"/>
      <c r="AS340" s="222"/>
      <c r="AT340" s="222"/>
      <c r="AU340" s="222"/>
      <c r="AV340" s="222"/>
      <c r="AW340" s="222"/>
      <c r="AX340" s="222"/>
    </row>
    <row r="341" spans="1:50" ht="15.75" customHeight="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</row>
    <row r="342" spans="1:50" ht="15.75" customHeight="1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222"/>
      <c r="AP342" s="222"/>
      <c r="AQ342" s="222"/>
      <c r="AR342" s="222"/>
      <c r="AS342" s="222"/>
      <c r="AT342" s="222"/>
      <c r="AU342" s="222"/>
      <c r="AV342" s="222"/>
      <c r="AW342" s="222"/>
      <c r="AX342" s="222"/>
    </row>
    <row r="343" spans="1:50" ht="15.75" customHeight="1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222"/>
      <c r="AP343" s="222"/>
      <c r="AQ343" s="222"/>
      <c r="AR343" s="222"/>
      <c r="AS343" s="222"/>
      <c r="AT343" s="222"/>
      <c r="AU343" s="222"/>
      <c r="AV343" s="222"/>
      <c r="AW343" s="222"/>
      <c r="AX343" s="222"/>
    </row>
    <row r="344" spans="1:50" ht="15.75" customHeight="1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222"/>
      <c r="AP344" s="222"/>
      <c r="AQ344" s="222"/>
      <c r="AR344" s="222"/>
      <c r="AS344" s="222"/>
      <c r="AT344" s="222"/>
      <c r="AU344" s="222"/>
      <c r="AV344" s="222"/>
      <c r="AW344" s="222"/>
      <c r="AX344" s="222"/>
    </row>
    <row r="345" spans="1:50" ht="15.75" customHeight="1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222"/>
      <c r="AP345" s="222"/>
      <c r="AQ345" s="222"/>
      <c r="AR345" s="222"/>
      <c r="AS345" s="222"/>
      <c r="AT345" s="222"/>
      <c r="AU345" s="222"/>
      <c r="AV345" s="222"/>
      <c r="AW345" s="222"/>
      <c r="AX345" s="222"/>
    </row>
    <row r="346" spans="1:50" ht="15.75" customHeight="1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222"/>
      <c r="AP346" s="222"/>
      <c r="AQ346" s="222"/>
      <c r="AR346" s="222"/>
      <c r="AS346" s="222"/>
      <c r="AT346" s="222"/>
      <c r="AU346" s="222"/>
      <c r="AV346" s="222"/>
      <c r="AW346" s="222"/>
      <c r="AX346" s="222"/>
    </row>
    <row r="347" spans="1:50" ht="15.75" customHeight="1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222"/>
      <c r="AP347" s="222"/>
      <c r="AQ347" s="222"/>
      <c r="AR347" s="222"/>
      <c r="AS347" s="222"/>
      <c r="AT347" s="222"/>
      <c r="AU347" s="222"/>
      <c r="AV347" s="222"/>
      <c r="AW347" s="222"/>
      <c r="AX347" s="222"/>
    </row>
    <row r="348" spans="1:50" ht="15.75" customHeight="1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222"/>
      <c r="AP348" s="222"/>
      <c r="AQ348" s="222"/>
      <c r="AR348" s="222"/>
      <c r="AS348" s="222"/>
      <c r="AT348" s="222"/>
      <c r="AU348" s="222"/>
      <c r="AV348" s="222"/>
      <c r="AW348" s="222"/>
      <c r="AX348" s="222"/>
    </row>
    <row r="349" spans="1:50" ht="15.75" customHeight="1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222"/>
      <c r="AP349" s="222"/>
      <c r="AQ349" s="222"/>
      <c r="AR349" s="222"/>
      <c r="AS349" s="222"/>
      <c r="AT349" s="222"/>
      <c r="AU349" s="222"/>
      <c r="AV349" s="222"/>
      <c r="AW349" s="222"/>
      <c r="AX349" s="222"/>
    </row>
    <row r="350" spans="1:50" ht="15.75" customHeight="1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222"/>
      <c r="AP350" s="222"/>
      <c r="AQ350" s="222"/>
      <c r="AR350" s="222"/>
      <c r="AS350" s="222"/>
      <c r="AT350" s="222"/>
      <c r="AU350" s="222"/>
      <c r="AV350" s="222"/>
      <c r="AW350" s="222"/>
      <c r="AX350" s="222"/>
    </row>
    <row r="351" spans="1:50" ht="15.75" customHeight="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222"/>
      <c r="AP351" s="222"/>
      <c r="AQ351" s="222"/>
      <c r="AR351" s="222"/>
      <c r="AS351" s="222"/>
      <c r="AT351" s="222"/>
      <c r="AU351" s="222"/>
      <c r="AV351" s="222"/>
      <c r="AW351" s="222"/>
      <c r="AX351" s="222"/>
    </row>
    <row r="352" spans="1:50" ht="15.75" customHeight="1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222"/>
      <c r="AP352" s="222"/>
      <c r="AQ352" s="222"/>
      <c r="AR352" s="222"/>
      <c r="AS352" s="222"/>
      <c r="AT352" s="222"/>
      <c r="AU352" s="222"/>
      <c r="AV352" s="222"/>
      <c r="AW352" s="222"/>
      <c r="AX352" s="222"/>
    </row>
    <row r="353" spans="1:50" ht="15.75" customHeight="1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222"/>
      <c r="AP353" s="222"/>
      <c r="AQ353" s="222"/>
      <c r="AR353" s="222"/>
      <c r="AS353" s="222"/>
      <c r="AT353" s="222"/>
      <c r="AU353" s="222"/>
      <c r="AV353" s="222"/>
      <c r="AW353" s="222"/>
      <c r="AX353" s="222"/>
    </row>
    <row r="354" spans="1:50" ht="15.75" customHeight="1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222"/>
      <c r="AP354" s="222"/>
      <c r="AQ354" s="222"/>
      <c r="AR354" s="222"/>
      <c r="AS354" s="222"/>
      <c r="AT354" s="222"/>
      <c r="AU354" s="222"/>
      <c r="AV354" s="222"/>
      <c r="AW354" s="222"/>
      <c r="AX354" s="222"/>
    </row>
    <row r="355" spans="1:50" ht="15.75" customHeight="1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  <c r="AC355" s="222"/>
      <c r="AD355" s="222"/>
      <c r="AE355" s="222"/>
      <c r="AF355" s="222"/>
      <c r="AG355" s="222"/>
      <c r="AH355" s="222"/>
      <c r="AI355" s="222"/>
      <c r="AJ355" s="222"/>
      <c r="AK355" s="222"/>
      <c r="AL355" s="222"/>
      <c r="AM355" s="222"/>
      <c r="AN355" s="222"/>
      <c r="AO355" s="222"/>
      <c r="AP355" s="222"/>
      <c r="AQ355" s="222"/>
      <c r="AR355" s="222"/>
      <c r="AS355" s="222"/>
      <c r="AT355" s="222"/>
      <c r="AU355" s="222"/>
      <c r="AV355" s="222"/>
      <c r="AW355" s="222"/>
      <c r="AX355" s="222"/>
    </row>
    <row r="356" spans="1:50" ht="15.75" customHeight="1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  <c r="AC356" s="222"/>
      <c r="AD356" s="222"/>
      <c r="AE356" s="222"/>
      <c r="AF356" s="222"/>
      <c r="AG356" s="222"/>
      <c r="AH356" s="222"/>
      <c r="AI356" s="222"/>
      <c r="AJ356" s="222"/>
      <c r="AK356" s="222"/>
      <c r="AL356" s="222"/>
      <c r="AM356" s="222"/>
      <c r="AN356" s="222"/>
      <c r="AO356" s="222"/>
      <c r="AP356" s="222"/>
      <c r="AQ356" s="222"/>
      <c r="AR356" s="222"/>
      <c r="AS356" s="222"/>
      <c r="AT356" s="222"/>
      <c r="AU356" s="222"/>
      <c r="AV356" s="222"/>
      <c r="AW356" s="222"/>
      <c r="AX356" s="222"/>
    </row>
    <row r="357" spans="1:50" ht="15.75" customHeight="1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  <c r="AC357" s="222"/>
      <c r="AD357" s="222"/>
      <c r="AE357" s="222"/>
      <c r="AF357" s="222"/>
      <c r="AG357" s="222"/>
      <c r="AH357" s="222"/>
      <c r="AI357" s="222"/>
      <c r="AJ357" s="222"/>
      <c r="AK357" s="222"/>
      <c r="AL357" s="222"/>
      <c r="AM357" s="222"/>
      <c r="AN357" s="222"/>
      <c r="AO357" s="222"/>
      <c r="AP357" s="222"/>
      <c r="AQ357" s="222"/>
      <c r="AR357" s="222"/>
      <c r="AS357" s="222"/>
      <c r="AT357" s="222"/>
      <c r="AU357" s="222"/>
      <c r="AV357" s="222"/>
      <c r="AW357" s="222"/>
      <c r="AX357" s="222"/>
    </row>
    <row r="358" spans="1:50" ht="15.75" customHeight="1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  <c r="AC358" s="222"/>
      <c r="AD358" s="222"/>
      <c r="AE358" s="222"/>
      <c r="AF358" s="222"/>
      <c r="AG358" s="222"/>
      <c r="AH358" s="222"/>
      <c r="AI358" s="222"/>
      <c r="AJ358" s="222"/>
      <c r="AK358" s="222"/>
      <c r="AL358" s="222"/>
      <c r="AM358" s="222"/>
      <c r="AN358" s="222"/>
      <c r="AO358" s="222"/>
      <c r="AP358" s="222"/>
      <c r="AQ358" s="222"/>
      <c r="AR358" s="222"/>
      <c r="AS358" s="222"/>
      <c r="AT358" s="222"/>
      <c r="AU358" s="222"/>
      <c r="AV358" s="222"/>
      <c r="AW358" s="222"/>
      <c r="AX358" s="222"/>
    </row>
    <row r="359" spans="1:50" ht="15.75" customHeight="1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  <c r="AC359" s="222"/>
      <c r="AD359" s="222"/>
      <c r="AE359" s="222"/>
      <c r="AF359" s="222"/>
      <c r="AG359" s="222"/>
      <c r="AH359" s="222"/>
      <c r="AI359" s="222"/>
      <c r="AJ359" s="222"/>
      <c r="AK359" s="222"/>
      <c r="AL359" s="222"/>
      <c r="AM359" s="222"/>
      <c r="AN359" s="222"/>
      <c r="AO359" s="222"/>
      <c r="AP359" s="222"/>
      <c r="AQ359" s="222"/>
      <c r="AR359" s="222"/>
      <c r="AS359" s="222"/>
      <c r="AT359" s="222"/>
      <c r="AU359" s="222"/>
      <c r="AV359" s="222"/>
      <c r="AW359" s="222"/>
      <c r="AX359" s="222"/>
    </row>
    <row r="360" spans="1:50" ht="15.75" customHeight="1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  <c r="AC360" s="222"/>
      <c r="AD360" s="222"/>
      <c r="AE360" s="222"/>
      <c r="AF360" s="222"/>
      <c r="AG360" s="222"/>
      <c r="AH360" s="222"/>
      <c r="AI360" s="222"/>
      <c r="AJ360" s="222"/>
      <c r="AK360" s="222"/>
      <c r="AL360" s="222"/>
      <c r="AM360" s="222"/>
      <c r="AN360" s="222"/>
      <c r="AO360" s="222"/>
      <c r="AP360" s="222"/>
      <c r="AQ360" s="222"/>
      <c r="AR360" s="222"/>
      <c r="AS360" s="222"/>
      <c r="AT360" s="222"/>
      <c r="AU360" s="222"/>
      <c r="AV360" s="222"/>
      <c r="AW360" s="222"/>
      <c r="AX360" s="222"/>
    </row>
    <row r="361" spans="1:50" ht="15.75" customHeight="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  <c r="AC361" s="222"/>
      <c r="AD361" s="222"/>
      <c r="AE361" s="222"/>
      <c r="AF361" s="222"/>
      <c r="AG361" s="222"/>
      <c r="AH361" s="222"/>
      <c r="AI361" s="222"/>
      <c r="AJ361" s="222"/>
      <c r="AK361" s="222"/>
      <c r="AL361" s="222"/>
      <c r="AM361" s="222"/>
      <c r="AN361" s="222"/>
      <c r="AO361" s="222"/>
      <c r="AP361" s="222"/>
      <c r="AQ361" s="222"/>
      <c r="AR361" s="222"/>
      <c r="AS361" s="222"/>
      <c r="AT361" s="222"/>
      <c r="AU361" s="222"/>
      <c r="AV361" s="222"/>
      <c r="AW361" s="222"/>
      <c r="AX361" s="222"/>
    </row>
    <row r="362" spans="1:50" ht="15.75" customHeight="1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  <c r="AC362" s="222"/>
      <c r="AD362" s="222"/>
      <c r="AE362" s="222"/>
      <c r="AF362" s="222"/>
      <c r="AG362" s="222"/>
      <c r="AH362" s="222"/>
      <c r="AI362" s="222"/>
      <c r="AJ362" s="222"/>
      <c r="AK362" s="222"/>
      <c r="AL362" s="222"/>
      <c r="AM362" s="222"/>
      <c r="AN362" s="222"/>
      <c r="AO362" s="222"/>
      <c r="AP362" s="222"/>
      <c r="AQ362" s="222"/>
      <c r="AR362" s="222"/>
      <c r="AS362" s="222"/>
      <c r="AT362" s="222"/>
      <c r="AU362" s="222"/>
      <c r="AV362" s="222"/>
      <c r="AW362" s="222"/>
      <c r="AX362" s="222"/>
    </row>
    <row r="363" spans="1:50" ht="15.75" customHeight="1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  <c r="AC363" s="222"/>
      <c r="AD363" s="222"/>
      <c r="AE363" s="222"/>
      <c r="AF363" s="222"/>
      <c r="AG363" s="222"/>
      <c r="AH363" s="222"/>
      <c r="AI363" s="222"/>
      <c r="AJ363" s="222"/>
      <c r="AK363" s="222"/>
      <c r="AL363" s="222"/>
      <c r="AM363" s="222"/>
      <c r="AN363" s="222"/>
      <c r="AO363" s="222"/>
      <c r="AP363" s="222"/>
      <c r="AQ363" s="222"/>
      <c r="AR363" s="222"/>
      <c r="AS363" s="222"/>
      <c r="AT363" s="222"/>
      <c r="AU363" s="222"/>
      <c r="AV363" s="222"/>
      <c r="AW363" s="222"/>
      <c r="AX363" s="222"/>
    </row>
    <row r="364" spans="1:50" ht="15.75" customHeight="1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  <c r="AC364" s="222"/>
      <c r="AD364" s="222"/>
      <c r="AE364" s="222"/>
      <c r="AF364" s="222"/>
      <c r="AG364" s="222"/>
      <c r="AH364" s="222"/>
      <c r="AI364" s="222"/>
      <c r="AJ364" s="222"/>
      <c r="AK364" s="222"/>
      <c r="AL364" s="222"/>
      <c r="AM364" s="222"/>
      <c r="AN364" s="222"/>
      <c r="AO364" s="222"/>
      <c r="AP364" s="222"/>
      <c r="AQ364" s="222"/>
      <c r="AR364" s="222"/>
      <c r="AS364" s="222"/>
      <c r="AT364" s="222"/>
      <c r="AU364" s="222"/>
      <c r="AV364" s="222"/>
      <c r="AW364" s="222"/>
      <c r="AX364" s="222"/>
    </row>
    <row r="365" spans="1:50" ht="15.75" customHeight="1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  <c r="AC365" s="222"/>
      <c r="AD365" s="222"/>
      <c r="AE365" s="222"/>
      <c r="AF365" s="222"/>
      <c r="AG365" s="222"/>
      <c r="AH365" s="222"/>
      <c r="AI365" s="222"/>
      <c r="AJ365" s="222"/>
      <c r="AK365" s="222"/>
      <c r="AL365" s="222"/>
      <c r="AM365" s="222"/>
      <c r="AN365" s="222"/>
      <c r="AO365" s="222"/>
      <c r="AP365" s="222"/>
      <c r="AQ365" s="222"/>
      <c r="AR365" s="222"/>
      <c r="AS365" s="222"/>
      <c r="AT365" s="222"/>
      <c r="AU365" s="222"/>
      <c r="AV365" s="222"/>
      <c r="AW365" s="222"/>
      <c r="AX365" s="222"/>
    </row>
    <row r="366" spans="1:50" ht="15.75" customHeight="1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  <c r="AC366" s="222"/>
      <c r="AD366" s="222"/>
      <c r="AE366" s="222"/>
      <c r="AF366" s="222"/>
      <c r="AG366" s="222"/>
      <c r="AH366" s="222"/>
      <c r="AI366" s="222"/>
      <c r="AJ366" s="222"/>
      <c r="AK366" s="222"/>
      <c r="AL366" s="222"/>
      <c r="AM366" s="222"/>
      <c r="AN366" s="222"/>
      <c r="AO366" s="222"/>
      <c r="AP366" s="222"/>
      <c r="AQ366" s="222"/>
      <c r="AR366" s="222"/>
      <c r="AS366" s="222"/>
      <c r="AT366" s="222"/>
      <c r="AU366" s="222"/>
      <c r="AV366" s="222"/>
      <c r="AW366" s="222"/>
      <c r="AX366" s="222"/>
    </row>
    <row r="367" spans="1:50" ht="15.75" customHeight="1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  <c r="AC367" s="222"/>
      <c r="AD367" s="222"/>
      <c r="AE367" s="222"/>
      <c r="AF367" s="222"/>
      <c r="AG367" s="222"/>
      <c r="AH367" s="222"/>
      <c r="AI367" s="222"/>
      <c r="AJ367" s="222"/>
      <c r="AK367" s="222"/>
      <c r="AL367" s="222"/>
      <c r="AM367" s="222"/>
      <c r="AN367" s="222"/>
      <c r="AO367" s="222"/>
      <c r="AP367" s="222"/>
      <c r="AQ367" s="222"/>
      <c r="AR367" s="222"/>
      <c r="AS367" s="222"/>
      <c r="AT367" s="222"/>
      <c r="AU367" s="222"/>
      <c r="AV367" s="222"/>
      <c r="AW367" s="222"/>
      <c r="AX367" s="222"/>
    </row>
    <row r="368" spans="1:50" ht="15.75" customHeight="1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  <c r="AC368" s="222"/>
      <c r="AD368" s="222"/>
      <c r="AE368" s="222"/>
      <c r="AF368" s="222"/>
      <c r="AG368" s="222"/>
      <c r="AH368" s="222"/>
      <c r="AI368" s="222"/>
      <c r="AJ368" s="222"/>
      <c r="AK368" s="222"/>
      <c r="AL368" s="222"/>
      <c r="AM368" s="222"/>
      <c r="AN368" s="222"/>
      <c r="AO368" s="222"/>
      <c r="AP368" s="222"/>
      <c r="AQ368" s="222"/>
      <c r="AR368" s="222"/>
      <c r="AS368" s="222"/>
      <c r="AT368" s="222"/>
      <c r="AU368" s="222"/>
      <c r="AV368" s="222"/>
      <c r="AW368" s="222"/>
      <c r="AX368" s="222"/>
    </row>
    <row r="369" spans="1:50" ht="15.75" customHeight="1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  <c r="AC369" s="222"/>
      <c r="AD369" s="222"/>
      <c r="AE369" s="222"/>
      <c r="AF369" s="222"/>
      <c r="AG369" s="222"/>
      <c r="AH369" s="222"/>
      <c r="AI369" s="222"/>
      <c r="AJ369" s="222"/>
      <c r="AK369" s="222"/>
      <c r="AL369" s="222"/>
      <c r="AM369" s="222"/>
      <c r="AN369" s="222"/>
      <c r="AO369" s="222"/>
      <c r="AP369" s="222"/>
      <c r="AQ369" s="222"/>
      <c r="AR369" s="222"/>
      <c r="AS369" s="222"/>
      <c r="AT369" s="222"/>
      <c r="AU369" s="222"/>
      <c r="AV369" s="222"/>
      <c r="AW369" s="222"/>
      <c r="AX369" s="222"/>
    </row>
    <row r="370" spans="1:50" ht="15.75" customHeight="1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  <c r="AM370" s="222"/>
      <c r="AN370" s="222"/>
      <c r="AO370" s="222"/>
      <c r="AP370" s="222"/>
      <c r="AQ370" s="222"/>
      <c r="AR370" s="222"/>
      <c r="AS370" s="222"/>
      <c r="AT370" s="222"/>
      <c r="AU370" s="222"/>
      <c r="AV370" s="222"/>
      <c r="AW370" s="222"/>
      <c r="AX370" s="222"/>
    </row>
    <row r="371" spans="1:50" ht="15.75" customHeight="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  <c r="AC371" s="222"/>
      <c r="AD371" s="222"/>
      <c r="AE371" s="222"/>
      <c r="AF371" s="222"/>
      <c r="AG371" s="222"/>
      <c r="AH371" s="222"/>
      <c r="AI371" s="222"/>
      <c r="AJ371" s="222"/>
      <c r="AK371" s="222"/>
      <c r="AL371" s="222"/>
      <c r="AM371" s="222"/>
      <c r="AN371" s="222"/>
      <c r="AO371" s="222"/>
      <c r="AP371" s="222"/>
      <c r="AQ371" s="222"/>
      <c r="AR371" s="222"/>
      <c r="AS371" s="222"/>
      <c r="AT371" s="222"/>
      <c r="AU371" s="222"/>
      <c r="AV371" s="222"/>
      <c r="AW371" s="222"/>
      <c r="AX371" s="222"/>
    </row>
    <row r="372" spans="1:50" ht="15.75" customHeight="1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  <c r="AC372" s="222"/>
      <c r="AD372" s="222"/>
      <c r="AE372" s="222"/>
      <c r="AF372" s="222"/>
      <c r="AG372" s="222"/>
      <c r="AH372" s="222"/>
      <c r="AI372" s="222"/>
      <c r="AJ372" s="222"/>
      <c r="AK372" s="222"/>
      <c r="AL372" s="222"/>
      <c r="AM372" s="222"/>
      <c r="AN372" s="222"/>
      <c r="AO372" s="222"/>
      <c r="AP372" s="222"/>
      <c r="AQ372" s="222"/>
      <c r="AR372" s="222"/>
      <c r="AS372" s="222"/>
      <c r="AT372" s="222"/>
      <c r="AU372" s="222"/>
      <c r="AV372" s="222"/>
      <c r="AW372" s="222"/>
      <c r="AX372" s="222"/>
    </row>
    <row r="373" spans="1:50" ht="15.75" customHeight="1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  <c r="AC373" s="222"/>
      <c r="AD373" s="222"/>
      <c r="AE373" s="222"/>
      <c r="AF373" s="222"/>
      <c r="AG373" s="222"/>
      <c r="AH373" s="222"/>
      <c r="AI373" s="222"/>
      <c r="AJ373" s="222"/>
      <c r="AK373" s="222"/>
      <c r="AL373" s="222"/>
      <c r="AM373" s="222"/>
      <c r="AN373" s="222"/>
      <c r="AO373" s="222"/>
      <c r="AP373" s="222"/>
      <c r="AQ373" s="222"/>
      <c r="AR373" s="222"/>
      <c r="AS373" s="222"/>
      <c r="AT373" s="222"/>
      <c r="AU373" s="222"/>
      <c r="AV373" s="222"/>
      <c r="AW373" s="222"/>
      <c r="AX373" s="222"/>
    </row>
    <row r="374" spans="1:50" ht="15.75" customHeight="1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  <c r="AC374" s="222"/>
      <c r="AD374" s="222"/>
      <c r="AE374" s="222"/>
      <c r="AF374" s="222"/>
      <c r="AG374" s="222"/>
      <c r="AH374" s="222"/>
      <c r="AI374" s="222"/>
      <c r="AJ374" s="222"/>
      <c r="AK374" s="222"/>
      <c r="AL374" s="222"/>
      <c r="AM374" s="222"/>
      <c r="AN374" s="222"/>
      <c r="AO374" s="222"/>
      <c r="AP374" s="222"/>
      <c r="AQ374" s="222"/>
      <c r="AR374" s="222"/>
      <c r="AS374" s="222"/>
      <c r="AT374" s="222"/>
      <c r="AU374" s="222"/>
      <c r="AV374" s="222"/>
      <c r="AW374" s="222"/>
      <c r="AX374" s="222"/>
    </row>
    <row r="375" spans="1:50" ht="15.75" customHeight="1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  <c r="AC375" s="222"/>
      <c r="AD375" s="222"/>
      <c r="AE375" s="222"/>
      <c r="AF375" s="222"/>
      <c r="AG375" s="222"/>
      <c r="AH375" s="222"/>
      <c r="AI375" s="222"/>
      <c r="AJ375" s="222"/>
      <c r="AK375" s="222"/>
      <c r="AL375" s="222"/>
      <c r="AM375" s="222"/>
      <c r="AN375" s="222"/>
      <c r="AO375" s="222"/>
      <c r="AP375" s="222"/>
      <c r="AQ375" s="222"/>
      <c r="AR375" s="222"/>
      <c r="AS375" s="222"/>
      <c r="AT375" s="222"/>
      <c r="AU375" s="222"/>
      <c r="AV375" s="222"/>
      <c r="AW375" s="222"/>
      <c r="AX375" s="222"/>
    </row>
    <row r="376" spans="1:50" ht="15.75" customHeight="1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  <c r="AC376" s="222"/>
      <c r="AD376" s="222"/>
      <c r="AE376" s="222"/>
      <c r="AF376" s="222"/>
      <c r="AG376" s="222"/>
      <c r="AH376" s="222"/>
      <c r="AI376" s="222"/>
      <c r="AJ376" s="222"/>
      <c r="AK376" s="222"/>
      <c r="AL376" s="222"/>
      <c r="AM376" s="222"/>
      <c r="AN376" s="222"/>
      <c r="AO376" s="222"/>
      <c r="AP376" s="222"/>
      <c r="AQ376" s="222"/>
      <c r="AR376" s="222"/>
      <c r="AS376" s="222"/>
      <c r="AT376" s="222"/>
      <c r="AU376" s="222"/>
      <c r="AV376" s="222"/>
      <c r="AW376" s="222"/>
      <c r="AX376" s="222"/>
    </row>
    <row r="377" spans="1:50" ht="15.75" customHeight="1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  <c r="AC377" s="222"/>
      <c r="AD377" s="222"/>
      <c r="AE377" s="222"/>
      <c r="AF377" s="222"/>
      <c r="AG377" s="222"/>
      <c r="AH377" s="222"/>
      <c r="AI377" s="222"/>
      <c r="AJ377" s="222"/>
      <c r="AK377" s="222"/>
      <c r="AL377" s="222"/>
      <c r="AM377" s="222"/>
      <c r="AN377" s="222"/>
      <c r="AO377" s="222"/>
      <c r="AP377" s="222"/>
      <c r="AQ377" s="222"/>
      <c r="AR377" s="222"/>
      <c r="AS377" s="222"/>
      <c r="AT377" s="222"/>
      <c r="AU377" s="222"/>
      <c r="AV377" s="222"/>
      <c r="AW377" s="222"/>
      <c r="AX377" s="222"/>
    </row>
    <row r="378" spans="1:50" ht="15.75" customHeight="1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  <c r="AC378" s="222"/>
      <c r="AD378" s="222"/>
      <c r="AE378" s="222"/>
      <c r="AF378" s="222"/>
      <c r="AG378" s="222"/>
      <c r="AH378" s="222"/>
      <c r="AI378" s="222"/>
      <c r="AJ378" s="222"/>
      <c r="AK378" s="222"/>
      <c r="AL378" s="222"/>
      <c r="AM378" s="222"/>
      <c r="AN378" s="222"/>
      <c r="AO378" s="222"/>
      <c r="AP378" s="222"/>
      <c r="AQ378" s="222"/>
      <c r="AR378" s="222"/>
      <c r="AS378" s="222"/>
      <c r="AT378" s="222"/>
      <c r="AU378" s="222"/>
      <c r="AV378" s="222"/>
      <c r="AW378" s="222"/>
      <c r="AX378" s="222"/>
    </row>
    <row r="379" spans="1:50" ht="15.75" customHeight="1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  <c r="AC379" s="222"/>
      <c r="AD379" s="222"/>
      <c r="AE379" s="222"/>
      <c r="AF379" s="222"/>
      <c r="AG379" s="222"/>
      <c r="AH379" s="222"/>
      <c r="AI379" s="222"/>
      <c r="AJ379" s="222"/>
      <c r="AK379" s="222"/>
      <c r="AL379" s="222"/>
      <c r="AM379" s="222"/>
      <c r="AN379" s="222"/>
      <c r="AO379" s="222"/>
      <c r="AP379" s="222"/>
      <c r="AQ379" s="222"/>
      <c r="AR379" s="222"/>
      <c r="AS379" s="222"/>
      <c r="AT379" s="222"/>
      <c r="AU379" s="222"/>
      <c r="AV379" s="222"/>
      <c r="AW379" s="222"/>
      <c r="AX379" s="222"/>
    </row>
    <row r="380" spans="1:50" ht="15.75" customHeight="1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  <c r="AC380" s="222"/>
      <c r="AD380" s="222"/>
      <c r="AE380" s="222"/>
      <c r="AF380" s="222"/>
      <c r="AG380" s="222"/>
      <c r="AH380" s="222"/>
      <c r="AI380" s="222"/>
      <c r="AJ380" s="222"/>
      <c r="AK380" s="222"/>
      <c r="AL380" s="222"/>
      <c r="AM380" s="222"/>
      <c r="AN380" s="222"/>
      <c r="AO380" s="222"/>
      <c r="AP380" s="222"/>
      <c r="AQ380" s="222"/>
      <c r="AR380" s="222"/>
      <c r="AS380" s="222"/>
      <c r="AT380" s="222"/>
      <c r="AU380" s="222"/>
      <c r="AV380" s="222"/>
      <c r="AW380" s="222"/>
      <c r="AX380" s="222"/>
    </row>
    <row r="381" spans="1:50" ht="15.75" customHeight="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  <c r="AC381" s="222"/>
      <c r="AD381" s="222"/>
      <c r="AE381" s="222"/>
      <c r="AF381" s="222"/>
      <c r="AG381" s="222"/>
      <c r="AH381" s="222"/>
      <c r="AI381" s="222"/>
      <c r="AJ381" s="222"/>
      <c r="AK381" s="222"/>
      <c r="AL381" s="222"/>
      <c r="AM381" s="222"/>
      <c r="AN381" s="222"/>
      <c r="AO381" s="222"/>
      <c r="AP381" s="222"/>
      <c r="AQ381" s="222"/>
      <c r="AR381" s="222"/>
      <c r="AS381" s="222"/>
      <c r="AT381" s="222"/>
      <c r="AU381" s="222"/>
      <c r="AV381" s="222"/>
      <c r="AW381" s="222"/>
      <c r="AX381" s="222"/>
    </row>
    <row r="382" spans="1:50" ht="15.75" customHeight="1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  <c r="AC382" s="222"/>
      <c r="AD382" s="222"/>
      <c r="AE382" s="222"/>
      <c r="AF382" s="222"/>
      <c r="AG382" s="222"/>
      <c r="AH382" s="222"/>
      <c r="AI382" s="222"/>
      <c r="AJ382" s="222"/>
      <c r="AK382" s="222"/>
      <c r="AL382" s="222"/>
      <c r="AM382" s="222"/>
      <c r="AN382" s="222"/>
      <c r="AO382" s="222"/>
      <c r="AP382" s="222"/>
      <c r="AQ382" s="222"/>
      <c r="AR382" s="222"/>
      <c r="AS382" s="222"/>
      <c r="AT382" s="222"/>
      <c r="AU382" s="222"/>
      <c r="AV382" s="222"/>
      <c r="AW382" s="222"/>
      <c r="AX382" s="222"/>
    </row>
    <row r="383" spans="1:50" ht="15.75" customHeight="1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  <c r="AC383" s="222"/>
      <c r="AD383" s="222"/>
      <c r="AE383" s="222"/>
      <c r="AF383" s="222"/>
      <c r="AG383" s="222"/>
      <c r="AH383" s="222"/>
      <c r="AI383" s="222"/>
      <c r="AJ383" s="222"/>
      <c r="AK383" s="222"/>
      <c r="AL383" s="222"/>
      <c r="AM383" s="222"/>
      <c r="AN383" s="222"/>
      <c r="AO383" s="222"/>
      <c r="AP383" s="222"/>
      <c r="AQ383" s="222"/>
      <c r="AR383" s="222"/>
      <c r="AS383" s="222"/>
      <c r="AT383" s="222"/>
      <c r="AU383" s="222"/>
      <c r="AV383" s="222"/>
      <c r="AW383" s="222"/>
      <c r="AX383" s="222"/>
    </row>
    <row r="384" spans="1:50" ht="15.75" customHeight="1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  <c r="AC384" s="222"/>
      <c r="AD384" s="222"/>
      <c r="AE384" s="222"/>
      <c r="AF384" s="222"/>
      <c r="AG384" s="222"/>
      <c r="AH384" s="222"/>
      <c r="AI384" s="222"/>
      <c r="AJ384" s="222"/>
      <c r="AK384" s="222"/>
      <c r="AL384" s="222"/>
      <c r="AM384" s="222"/>
      <c r="AN384" s="222"/>
      <c r="AO384" s="222"/>
      <c r="AP384" s="222"/>
      <c r="AQ384" s="222"/>
      <c r="AR384" s="222"/>
      <c r="AS384" s="222"/>
      <c r="AT384" s="222"/>
      <c r="AU384" s="222"/>
      <c r="AV384" s="222"/>
      <c r="AW384" s="222"/>
      <c r="AX384" s="222"/>
    </row>
    <row r="385" spans="1:50" ht="15.75" customHeight="1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  <c r="AC385" s="222"/>
      <c r="AD385" s="222"/>
      <c r="AE385" s="222"/>
      <c r="AF385" s="222"/>
      <c r="AG385" s="222"/>
      <c r="AH385" s="222"/>
      <c r="AI385" s="222"/>
      <c r="AJ385" s="222"/>
      <c r="AK385" s="222"/>
      <c r="AL385" s="222"/>
      <c r="AM385" s="222"/>
      <c r="AN385" s="222"/>
      <c r="AO385" s="222"/>
      <c r="AP385" s="222"/>
      <c r="AQ385" s="222"/>
      <c r="AR385" s="222"/>
      <c r="AS385" s="222"/>
      <c r="AT385" s="222"/>
      <c r="AU385" s="222"/>
      <c r="AV385" s="222"/>
      <c r="AW385" s="222"/>
      <c r="AX385" s="222"/>
    </row>
    <row r="386" spans="1:50" ht="15.75" customHeight="1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  <c r="AC386" s="222"/>
      <c r="AD386" s="222"/>
      <c r="AE386" s="222"/>
      <c r="AF386" s="222"/>
      <c r="AG386" s="222"/>
      <c r="AH386" s="222"/>
      <c r="AI386" s="222"/>
      <c r="AJ386" s="222"/>
      <c r="AK386" s="222"/>
      <c r="AL386" s="222"/>
      <c r="AM386" s="222"/>
      <c r="AN386" s="222"/>
      <c r="AO386" s="222"/>
      <c r="AP386" s="222"/>
      <c r="AQ386" s="222"/>
      <c r="AR386" s="222"/>
      <c r="AS386" s="222"/>
      <c r="AT386" s="222"/>
      <c r="AU386" s="222"/>
      <c r="AV386" s="222"/>
      <c r="AW386" s="222"/>
      <c r="AX386" s="222"/>
    </row>
    <row r="387" spans="1:50" ht="15.75" customHeight="1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  <c r="AC387" s="222"/>
      <c r="AD387" s="222"/>
      <c r="AE387" s="222"/>
      <c r="AF387" s="222"/>
      <c r="AG387" s="222"/>
      <c r="AH387" s="222"/>
      <c r="AI387" s="222"/>
      <c r="AJ387" s="222"/>
      <c r="AK387" s="222"/>
      <c r="AL387" s="222"/>
      <c r="AM387" s="222"/>
      <c r="AN387" s="222"/>
      <c r="AO387" s="222"/>
      <c r="AP387" s="222"/>
      <c r="AQ387" s="222"/>
      <c r="AR387" s="222"/>
      <c r="AS387" s="222"/>
      <c r="AT387" s="222"/>
      <c r="AU387" s="222"/>
      <c r="AV387" s="222"/>
      <c r="AW387" s="222"/>
      <c r="AX387" s="222"/>
    </row>
    <row r="388" spans="1:50" ht="15.75" customHeight="1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  <c r="AC388" s="222"/>
      <c r="AD388" s="222"/>
      <c r="AE388" s="222"/>
      <c r="AF388" s="222"/>
      <c r="AG388" s="222"/>
      <c r="AH388" s="222"/>
      <c r="AI388" s="222"/>
      <c r="AJ388" s="222"/>
      <c r="AK388" s="222"/>
      <c r="AL388" s="222"/>
      <c r="AM388" s="222"/>
      <c r="AN388" s="222"/>
      <c r="AO388" s="222"/>
      <c r="AP388" s="222"/>
      <c r="AQ388" s="222"/>
      <c r="AR388" s="222"/>
      <c r="AS388" s="222"/>
      <c r="AT388" s="222"/>
      <c r="AU388" s="222"/>
      <c r="AV388" s="222"/>
      <c r="AW388" s="222"/>
      <c r="AX388" s="222"/>
    </row>
    <row r="389" spans="1:50" ht="15.75" customHeight="1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  <c r="AC389" s="222"/>
      <c r="AD389" s="222"/>
      <c r="AE389" s="222"/>
      <c r="AF389" s="222"/>
      <c r="AG389" s="222"/>
      <c r="AH389" s="222"/>
      <c r="AI389" s="222"/>
      <c r="AJ389" s="222"/>
      <c r="AK389" s="222"/>
      <c r="AL389" s="222"/>
      <c r="AM389" s="222"/>
      <c r="AN389" s="222"/>
      <c r="AO389" s="222"/>
      <c r="AP389" s="222"/>
      <c r="AQ389" s="222"/>
      <c r="AR389" s="222"/>
      <c r="AS389" s="222"/>
      <c r="AT389" s="222"/>
      <c r="AU389" s="222"/>
      <c r="AV389" s="222"/>
      <c r="AW389" s="222"/>
      <c r="AX389" s="222"/>
    </row>
    <row r="390" spans="1:50" ht="15.75" customHeight="1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  <c r="AC390" s="222"/>
      <c r="AD390" s="222"/>
      <c r="AE390" s="222"/>
      <c r="AF390" s="222"/>
      <c r="AG390" s="222"/>
      <c r="AH390" s="222"/>
      <c r="AI390" s="222"/>
      <c r="AJ390" s="222"/>
      <c r="AK390" s="222"/>
      <c r="AL390" s="222"/>
      <c r="AM390" s="222"/>
      <c r="AN390" s="222"/>
      <c r="AO390" s="222"/>
      <c r="AP390" s="222"/>
      <c r="AQ390" s="222"/>
      <c r="AR390" s="222"/>
      <c r="AS390" s="222"/>
      <c r="AT390" s="222"/>
      <c r="AU390" s="222"/>
      <c r="AV390" s="222"/>
      <c r="AW390" s="222"/>
      <c r="AX390" s="222"/>
    </row>
    <row r="391" spans="1:50" ht="15.75" customHeight="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  <c r="AC391" s="222"/>
      <c r="AD391" s="222"/>
      <c r="AE391" s="222"/>
      <c r="AF391" s="222"/>
      <c r="AG391" s="222"/>
      <c r="AH391" s="222"/>
      <c r="AI391" s="222"/>
      <c r="AJ391" s="222"/>
      <c r="AK391" s="222"/>
      <c r="AL391" s="222"/>
      <c r="AM391" s="222"/>
      <c r="AN391" s="222"/>
      <c r="AO391" s="222"/>
      <c r="AP391" s="222"/>
      <c r="AQ391" s="222"/>
      <c r="AR391" s="222"/>
      <c r="AS391" s="222"/>
      <c r="AT391" s="222"/>
      <c r="AU391" s="222"/>
      <c r="AV391" s="222"/>
      <c r="AW391" s="222"/>
      <c r="AX391" s="222"/>
    </row>
    <row r="392" spans="1:50" ht="15.75" customHeight="1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  <c r="AC392" s="222"/>
      <c r="AD392" s="222"/>
      <c r="AE392" s="222"/>
      <c r="AF392" s="222"/>
      <c r="AG392" s="222"/>
      <c r="AH392" s="222"/>
      <c r="AI392" s="222"/>
      <c r="AJ392" s="222"/>
      <c r="AK392" s="222"/>
      <c r="AL392" s="222"/>
      <c r="AM392" s="222"/>
      <c r="AN392" s="222"/>
      <c r="AO392" s="222"/>
      <c r="AP392" s="222"/>
      <c r="AQ392" s="222"/>
      <c r="AR392" s="222"/>
      <c r="AS392" s="222"/>
      <c r="AT392" s="222"/>
      <c r="AU392" s="222"/>
      <c r="AV392" s="222"/>
      <c r="AW392" s="222"/>
      <c r="AX392" s="222"/>
    </row>
    <row r="393" spans="1:50" ht="15.75" customHeight="1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  <c r="AC393" s="222"/>
      <c r="AD393" s="222"/>
      <c r="AE393" s="222"/>
      <c r="AF393" s="222"/>
      <c r="AG393" s="222"/>
      <c r="AH393" s="222"/>
      <c r="AI393" s="222"/>
      <c r="AJ393" s="222"/>
      <c r="AK393" s="222"/>
      <c r="AL393" s="222"/>
      <c r="AM393" s="222"/>
      <c r="AN393" s="222"/>
      <c r="AO393" s="222"/>
      <c r="AP393" s="222"/>
      <c r="AQ393" s="222"/>
      <c r="AR393" s="222"/>
      <c r="AS393" s="222"/>
      <c r="AT393" s="222"/>
      <c r="AU393" s="222"/>
      <c r="AV393" s="222"/>
      <c r="AW393" s="222"/>
      <c r="AX393" s="222"/>
    </row>
    <row r="394" spans="1:50" ht="15.75" customHeight="1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2"/>
      <c r="AE394" s="222"/>
      <c r="AF394" s="222"/>
      <c r="AG394" s="222"/>
      <c r="AH394" s="222"/>
      <c r="AI394" s="222"/>
      <c r="AJ394" s="222"/>
      <c r="AK394" s="222"/>
      <c r="AL394" s="222"/>
      <c r="AM394" s="222"/>
      <c r="AN394" s="222"/>
      <c r="AO394" s="222"/>
      <c r="AP394" s="222"/>
      <c r="AQ394" s="222"/>
      <c r="AR394" s="222"/>
      <c r="AS394" s="222"/>
      <c r="AT394" s="222"/>
      <c r="AU394" s="222"/>
      <c r="AV394" s="222"/>
      <c r="AW394" s="222"/>
      <c r="AX394" s="222"/>
    </row>
    <row r="395" spans="1:50" ht="15.75" customHeight="1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2"/>
      <c r="AL395" s="222"/>
      <c r="AM395" s="222"/>
      <c r="AN395" s="222"/>
      <c r="AO395" s="222"/>
      <c r="AP395" s="222"/>
      <c r="AQ395" s="222"/>
      <c r="AR395" s="222"/>
      <c r="AS395" s="222"/>
      <c r="AT395" s="222"/>
      <c r="AU395" s="222"/>
      <c r="AV395" s="222"/>
      <c r="AW395" s="222"/>
      <c r="AX395" s="222"/>
    </row>
    <row r="396" spans="1:50" ht="15.75" customHeight="1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  <c r="AC396" s="222"/>
      <c r="AD396" s="222"/>
      <c r="AE396" s="222"/>
      <c r="AF396" s="222"/>
      <c r="AG396" s="222"/>
      <c r="AH396" s="222"/>
      <c r="AI396" s="222"/>
      <c r="AJ396" s="222"/>
      <c r="AK396" s="222"/>
      <c r="AL396" s="222"/>
      <c r="AM396" s="222"/>
      <c r="AN396" s="222"/>
      <c r="AO396" s="222"/>
      <c r="AP396" s="222"/>
      <c r="AQ396" s="222"/>
      <c r="AR396" s="222"/>
      <c r="AS396" s="222"/>
      <c r="AT396" s="222"/>
      <c r="AU396" s="222"/>
      <c r="AV396" s="222"/>
      <c r="AW396" s="222"/>
      <c r="AX396" s="222"/>
    </row>
    <row r="397" spans="1:50" ht="15.75" customHeight="1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  <c r="AC397" s="222"/>
      <c r="AD397" s="222"/>
      <c r="AE397" s="222"/>
      <c r="AF397" s="222"/>
      <c r="AG397" s="222"/>
      <c r="AH397" s="222"/>
      <c r="AI397" s="222"/>
      <c r="AJ397" s="222"/>
      <c r="AK397" s="222"/>
      <c r="AL397" s="222"/>
      <c r="AM397" s="222"/>
      <c r="AN397" s="222"/>
      <c r="AO397" s="222"/>
      <c r="AP397" s="222"/>
      <c r="AQ397" s="222"/>
      <c r="AR397" s="222"/>
      <c r="AS397" s="222"/>
      <c r="AT397" s="222"/>
      <c r="AU397" s="222"/>
      <c r="AV397" s="222"/>
      <c r="AW397" s="222"/>
      <c r="AX397" s="222"/>
    </row>
    <row r="398" spans="1:50" ht="15.75" customHeight="1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  <c r="AC398" s="222"/>
      <c r="AD398" s="222"/>
      <c r="AE398" s="222"/>
      <c r="AF398" s="222"/>
      <c r="AG398" s="222"/>
      <c r="AH398" s="222"/>
      <c r="AI398" s="222"/>
      <c r="AJ398" s="222"/>
      <c r="AK398" s="222"/>
      <c r="AL398" s="222"/>
      <c r="AM398" s="222"/>
      <c r="AN398" s="222"/>
      <c r="AO398" s="222"/>
      <c r="AP398" s="222"/>
      <c r="AQ398" s="222"/>
      <c r="AR398" s="222"/>
      <c r="AS398" s="222"/>
      <c r="AT398" s="222"/>
      <c r="AU398" s="222"/>
      <c r="AV398" s="222"/>
      <c r="AW398" s="222"/>
      <c r="AX398" s="222"/>
    </row>
    <row r="399" spans="1:50" ht="15.75" customHeight="1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  <c r="AC399" s="222"/>
      <c r="AD399" s="222"/>
      <c r="AE399" s="222"/>
      <c r="AF399" s="222"/>
      <c r="AG399" s="222"/>
      <c r="AH399" s="222"/>
      <c r="AI399" s="222"/>
      <c r="AJ399" s="222"/>
      <c r="AK399" s="222"/>
      <c r="AL399" s="222"/>
      <c r="AM399" s="222"/>
      <c r="AN399" s="222"/>
      <c r="AO399" s="222"/>
      <c r="AP399" s="222"/>
      <c r="AQ399" s="222"/>
      <c r="AR399" s="222"/>
      <c r="AS399" s="222"/>
      <c r="AT399" s="222"/>
      <c r="AU399" s="222"/>
      <c r="AV399" s="222"/>
      <c r="AW399" s="222"/>
      <c r="AX399" s="222"/>
    </row>
    <row r="400" spans="1:50" ht="15.75" customHeight="1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  <c r="AC400" s="222"/>
      <c r="AD400" s="222"/>
      <c r="AE400" s="222"/>
      <c r="AF400" s="222"/>
      <c r="AG400" s="222"/>
      <c r="AH400" s="222"/>
      <c r="AI400" s="222"/>
      <c r="AJ400" s="222"/>
      <c r="AK400" s="222"/>
      <c r="AL400" s="222"/>
      <c r="AM400" s="222"/>
      <c r="AN400" s="222"/>
      <c r="AO400" s="222"/>
      <c r="AP400" s="222"/>
      <c r="AQ400" s="222"/>
      <c r="AR400" s="222"/>
      <c r="AS400" s="222"/>
      <c r="AT400" s="222"/>
      <c r="AU400" s="222"/>
      <c r="AV400" s="222"/>
      <c r="AW400" s="222"/>
      <c r="AX400" s="222"/>
    </row>
    <row r="401" spans="1:50" ht="15.75" customHeight="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  <c r="AC401" s="222"/>
      <c r="AD401" s="222"/>
      <c r="AE401" s="222"/>
      <c r="AF401" s="222"/>
      <c r="AG401" s="222"/>
      <c r="AH401" s="222"/>
      <c r="AI401" s="222"/>
      <c r="AJ401" s="222"/>
      <c r="AK401" s="222"/>
      <c r="AL401" s="222"/>
      <c r="AM401" s="222"/>
      <c r="AN401" s="222"/>
      <c r="AO401" s="222"/>
      <c r="AP401" s="222"/>
      <c r="AQ401" s="222"/>
      <c r="AR401" s="222"/>
      <c r="AS401" s="222"/>
      <c r="AT401" s="222"/>
      <c r="AU401" s="222"/>
      <c r="AV401" s="222"/>
      <c r="AW401" s="222"/>
      <c r="AX401" s="222"/>
    </row>
    <row r="402" spans="1:50" ht="15.75" customHeight="1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</row>
    <row r="403" spans="1:50" ht="15.75" customHeight="1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  <c r="AC403" s="222"/>
      <c r="AD403" s="222"/>
      <c r="AE403" s="222"/>
      <c r="AF403" s="222"/>
      <c r="AG403" s="222"/>
      <c r="AH403" s="222"/>
      <c r="AI403" s="222"/>
      <c r="AJ403" s="222"/>
      <c r="AK403" s="222"/>
      <c r="AL403" s="222"/>
      <c r="AM403" s="222"/>
      <c r="AN403" s="222"/>
      <c r="AO403" s="222"/>
      <c r="AP403" s="222"/>
      <c r="AQ403" s="222"/>
      <c r="AR403" s="222"/>
      <c r="AS403" s="222"/>
      <c r="AT403" s="222"/>
      <c r="AU403" s="222"/>
      <c r="AV403" s="222"/>
      <c r="AW403" s="222"/>
      <c r="AX403" s="222"/>
    </row>
    <row r="404" spans="1:50" ht="15.75" customHeight="1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  <c r="AC404" s="222"/>
      <c r="AD404" s="222"/>
      <c r="AE404" s="222"/>
      <c r="AF404" s="222"/>
      <c r="AG404" s="222"/>
      <c r="AH404" s="222"/>
      <c r="AI404" s="222"/>
      <c r="AJ404" s="222"/>
      <c r="AK404" s="222"/>
      <c r="AL404" s="222"/>
      <c r="AM404" s="222"/>
      <c r="AN404" s="222"/>
      <c r="AO404" s="222"/>
      <c r="AP404" s="222"/>
      <c r="AQ404" s="222"/>
      <c r="AR404" s="222"/>
      <c r="AS404" s="222"/>
      <c r="AT404" s="222"/>
      <c r="AU404" s="222"/>
      <c r="AV404" s="222"/>
      <c r="AW404" s="222"/>
      <c r="AX404" s="222"/>
    </row>
    <row r="405" spans="1:50" ht="15.75" customHeight="1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  <c r="AC405" s="222"/>
      <c r="AD405" s="222"/>
      <c r="AE405" s="222"/>
      <c r="AF405" s="222"/>
      <c r="AG405" s="222"/>
      <c r="AH405" s="222"/>
      <c r="AI405" s="222"/>
      <c r="AJ405" s="222"/>
      <c r="AK405" s="222"/>
      <c r="AL405" s="222"/>
      <c r="AM405" s="222"/>
      <c r="AN405" s="222"/>
      <c r="AO405" s="222"/>
      <c r="AP405" s="222"/>
      <c r="AQ405" s="222"/>
      <c r="AR405" s="222"/>
      <c r="AS405" s="222"/>
      <c r="AT405" s="222"/>
      <c r="AU405" s="222"/>
      <c r="AV405" s="222"/>
      <c r="AW405" s="222"/>
      <c r="AX405" s="222"/>
    </row>
    <row r="406" spans="1:50" ht="15.75" customHeight="1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  <c r="AC406" s="222"/>
      <c r="AD406" s="222"/>
      <c r="AE406" s="222"/>
      <c r="AF406" s="222"/>
      <c r="AG406" s="222"/>
      <c r="AH406" s="222"/>
      <c r="AI406" s="222"/>
      <c r="AJ406" s="222"/>
      <c r="AK406" s="222"/>
      <c r="AL406" s="222"/>
      <c r="AM406" s="222"/>
      <c r="AN406" s="222"/>
      <c r="AO406" s="222"/>
      <c r="AP406" s="222"/>
      <c r="AQ406" s="222"/>
      <c r="AR406" s="222"/>
      <c r="AS406" s="222"/>
      <c r="AT406" s="222"/>
      <c r="AU406" s="222"/>
      <c r="AV406" s="222"/>
      <c r="AW406" s="222"/>
      <c r="AX406" s="222"/>
    </row>
    <row r="407" spans="1:50" ht="15.75" customHeight="1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  <c r="AC407" s="222"/>
      <c r="AD407" s="222"/>
      <c r="AE407" s="222"/>
      <c r="AF407" s="222"/>
      <c r="AG407" s="222"/>
      <c r="AH407" s="222"/>
      <c r="AI407" s="222"/>
      <c r="AJ407" s="222"/>
      <c r="AK407" s="222"/>
      <c r="AL407" s="222"/>
      <c r="AM407" s="222"/>
      <c r="AN407" s="222"/>
      <c r="AO407" s="222"/>
      <c r="AP407" s="222"/>
      <c r="AQ407" s="222"/>
      <c r="AR407" s="222"/>
      <c r="AS407" s="222"/>
      <c r="AT407" s="222"/>
      <c r="AU407" s="222"/>
      <c r="AV407" s="222"/>
      <c r="AW407" s="222"/>
      <c r="AX407" s="222"/>
    </row>
    <row r="408" spans="1:50" ht="15.75" customHeight="1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  <c r="AC408" s="222"/>
      <c r="AD408" s="222"/>
      <c r="AE408" s="222"/>
      <c r="AF408" s="222"/>
      <c r="AG408" s="222"/>
      <c r="AH408" s="222"/>
      <c r="AI408" s="222"/>
      <c r="AJ408" s="222"/>
      <c r="AK408" s="222"/>
      <c r="AL408" s="222"/>
      <c r="AM408" s="222"/>
      <c r="AN408" s="222"/>
      <c r="AO408" s="222"/>
      <c r="AP408" s="222"/>
      <c r="AQ408" s="222"/>
      <c r="AR408" s="222"/>
      <c r="AS408" s="222"/>
      <c r="AT408" s="222"/>
      <c r="AU408" s="222"/>
      <c r="AV408" s="222"/>
      <c r="AW408" s="222"/>
      <c r="AX408" s="222"/>
    </row>
    <row r="409" spans="1:50" ht="15.75" customHeight="1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  <c r="AC409" s="222"/>
      <c r="AD409" s="222"/>
      <c r="AE409" s="222"/>
      <c r="AF409" s="222"/>
      <c r="AG409" s="222"/>
      <c r="AH409" s="222"/>
      <c r="AI409" s="222"/>
      <c r="AJ409" s="222"/>
      <c r="AK409" s="222"/>
      <c r="AL409" s="222"/>
      <c r="AM409" s="222"/>
      <c r="AN409" s="222"/>
      <c r="AO409" s="222"/>
      <c r="AP409" s="222"/>
      <c r="AQ409" s="222"/>
      <c r="AR409" s="222"/>
      <c r="AS409" s="222"/>
      <c r="AT409" s="222"/>
      <c r="AU409" s="222"/>
      <c r="AV409" s="222"/>
      <c r="AW409" s="222"/>
      <c r="AX409" s="222"/>
    </row>
    <row r="410" spans="1:50" ht="15.75" customHeight="1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  <c r="AC410" s="222"/>
      <c r="AD410" s="222"/>
      <c r="AE410" s="222"/>
      <c r="AF410" s="222"/>
      <c r="AG410" s="222"/>
      <c r="AH410" s="222"/>
      <c r="AI410" s="222"/>
      <c r="AJ410" s="222"/>
      <c r="AK410" s="222"/>
      <c r="AL410" s="222"/>
      <c r="AM410" s="222"/>
      <c r="AN410" s="222"/>
      <c r="AO410" s="222"/>
      <c r="AP410" s="222"/>
      <c r="AQ410" s="222"/>
      <c r="AR410" s="222"/>
      <c r="AS410" s="222"/>
      <c r="AT410" s="222"/>
      <c r="AU410" s="222"/>
      <c r="AV410" s="222"/>
      <c r="AW410" s="222"/>
      <c r="AX410" s="222"/>
    </row>
    <row r="411" spans="1:50" ht="15.75" customHeight="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  <c r="AC411" s="222"/>
      <c r="AD411" s="222"/>
      <c r="AE411" s="222"/>
      <c r="AF411" s="222"/>
      <c r="AG411" s="222"/>
      <c r="AH411" s="222"/>
      <c r="AI411" s="222"/>
      <c r="AJ411" s="222"/>
      <c r="AK411" s="222"/>
      <c r="AL411" s="222"/>
      <c r="AM411" s="222"/>
      <c r="AN411" s="222"/>
      <c r="AO411" s="222"/>
      <c r="AP411" s="222"/>
      <c r="AQ411" s="222"/>
      <c r="AR411" s="222"/>
      <c r="AS411" s="222"/>
      <c r="AT411" s="222"/>
      <c r="AU411" s="222"/>
      <c r="AV411" s="222"/>
      <c r="AW411" s="222"/>
      <c r="AX411" s="222"/>
    </row>
    <row r="412" spans="1:50" ht="15.75" customHeight="1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  <c r="AC412" s="222"/>
      <c r="AD412" s="222"/>
      <c r="AE412" s="222"/>
      <c r="AF412" s="222"/>
      <c r="AG412" s="222"/>
      <c r="AH412" s="222"/>
      <c r="AI412" s="222"/>
      <c r="AJ412" s="222"/>
      <c r="AK412" s="222"/>
      <c r="AL412" s="222"/>
      <c r="AM412" s="222"/>
      <c r="AN412" s="222"/>
      <c r="AO412" s="222"/>
      <c r="AP412" s="222"/>
      <c r="AQ412" s="222"/>
      <c r="AR412" s="222"/>
      <c r="AS412" s="222"/>
      <c r="AT412" s="222"/>
      <c r="AU412" s="222"/>
      <c r="AV412" s="222"/>
      <c r="AW412" s="222"/>
      <c r="AX412" s="222"/>
    </row>
    <row r="413" spans="1:50" ht="15.75" customHeight="1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  <c r="AC413" s="222"/>
      <c r="AD413" s="222"/>
      <c r="AE413" s="222"/>
      <c r="AF413" s="222"/>
      <c r="AG413" s="222"/>
      <c r="AH413" s="222"/>
      <c r="AI413" s="222"/>
      <c r="AJ413" s="222"/>
      <c r="AK413" s="222"/>
      <c r="AL413" s="222"/>
      <c r="AM413" s="222"/>
      <c r="AN413" s="222"/>
      <c r="AO413" s="222"/>
      <c r="AP413" s="222"/>
      <c r="AQ413" s="222"/>
      <c r="AR413" s="222"/>
      <c r="AS413" s="222"/>
      <c r="AT413" s="222"/>
      <c r="AU413" s="222"/>
      <c r="AV413" s="222"/>
      <c r="AW413" s="222"/>
      <c r="AX413" s="222"/>
    </row>
    <row r="414" spans="1:50" ht="15.75" customHeight="1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  <c r="AC414" s="222"/>
      <c r="AD414" s="222"/>
      <c r="AE414" s="222"/>
      <c r="AF414" s="222"/>
      <c r="AG414" s="222"/>
      <c r="AH414" s="222"/>
      <c r="AI414" s="222"/>
      <c r="AJ414" s="222"/>
      <c r="AK414" s="222"/>
      <c r="AL414" s="222"/>
      <c r="AM414" s="222"/>
      <c r="AN414" s="222"/>
      <c r="AO414" s="222"/>
      <c r="AP414" s="222"/>
      <c r="AQ414" s="222"/>
      <c r="AR414" s="222"/>
      <c r="AS414" s="222"/>
      <c r="AT414" s="222"/>
      <c r="AU414" s="222"/>
      <c r="AV414" s="222"/>
      <c r="AW414" s="222"/>
      <c r="AX414" s="222"/>
    </row>
    <row r="415" spans="1:50" ht="15.75" customHeight="1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  <c r="AC415" s="222"/>
      <c r="AD415" s="222"/>
      <c r="AE415" s="222"/>
      <c r="AF415" s="222"/>
      <c r="AG415" s="222"/>
      <c r="AH415" s="222"/>
      <c r="AI415" s="222"/>
      <c r="AJ415" s="222"/>
      <c r="AK415" s="222"/>
      <c r="AL415" s="222"/>
      <c r="AM415" s="222"/>
      <c r="AN415" s="222"/>
      <c r="AO415" s="222"/>
      <c r="AP415" s="222"/>
      <c r="AQ415" s="222"/>
      <c r="AR415" s="222"/>
      <c r="AS415" s="222"/>
      <c r="AT415" s="222"/>
      <c r="AU415" s="222"/>
      <c r="AV415" s="222"/>
      <c r="AW415" s="222"/>
      <c r="AX415" s="222"/>
    </row>
    <row r="416" spans="1:50" ht="15.75" customHeight="1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  <c r="AC416" s="222"/>
      <c r="AD416" s="222"/>
      <c r="AE416" s="222"/>
      <c r="AF416" s="222"/>
      <c r="AG416" s="222"/>
      <c r="AH416" s="222"/>
      <c r="AI416" s="222"/>
      <c r="AJ416" s="222"/>
      <c r="AK416" s="222"/>
      <c r="AL416" s="222"/>
      <c r="AM416" s="222"/>
      <c r="AN416" s="222"/>
      <c r="AO416" s="222"/>
      <c r="AP416" s="222"/>
      <c r="AQ416" s="222"/>
      <c r="AR416" s="222"/>
      <c r="AS416" s="222"/>
      <c r="AT416" s="222"/>
      <c r="AU416" s="222"/>
      <c r="AV416" s="222"/>
      <c r="AW416" s="222"/>
      <c r="AX416" s="222"/>
    </row>
    <row r="417" spans="1:50" ht="15.75" customHeight="1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  <c r="AC417" s="222"/>
      <c r="AD417" s="222"/>
      <c r="AE417" s="222"/>
      <c r="AF417" s="222"/>
      <c r="AG417" s="222"/>
      <c r="AH417" s="222"/>
      <c r="AI417" s="222"/>
      <c r="AJ417" s="222"/>
      <c r="AK417" s="222"/>
      <c r="AL417" s="222"/>
      <c r="AM417" s="222"/>
      <c r="AN417" s="222"/>
      <c r="AO417" s="222"/>
      <c r="AP417" s="222"/>
      <c r="AQ417" s="222"/>
      <c r="AR417" s="222"/>
      <c r="AS417" s="222"/>
      <c r="AT417" s="222"/>
      <c r="AU417" s="222"/>
      <c r="AV417" s="222"/>
      <c r="AW417" s="222"/>
      <c r="AX417" s="222"/>
    </row>
    <row r="418" spans="1:50" ht="15.75" customHeight="1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  <c r="AC418" s="222"/>
      <c r="AD418" s="222"/>
      <c r="AE418" s="222"/>
      <c r="AF418" s="222"/>
      <c r="AG418" s="222"/>
      <c r="AH418" s="222"/>
      <c r="AI418" s="222"/>
      <c r="AJ418" s="222"/>
      <c r="AK418" s="222"/>
      <c r="AL418" s="222"/>
      <c r="AM418" s="222"/>
      <c r="AN418" s="222"/>
      <c r="AO418" s="222"/>
      <c r="AP418" s="222"/>
      <c r="AQ418" s="222"/>
      <c r="AR418" s="222"/>
      <c r="AS418" s="222"/>
      <c r="AT418" s="222"/>
      <c r="AU418" s="222"/>
      <c r="AV418" s="222"/>
      <c r="AW418" s="222"/>
      <c r="AX418" s="222"/>
    </row>
    <row r="419" spans="1:50" ht="15.75" customHeight="1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  <c r="AC419" s="222"/>
      <c r="AD419" s="222"/>
      <c r="AE419" s="222"/>
      <c r="AF419" s="222"/>
      <c r="AG419" s="222"/>
      <c r="AH419" s="222"/>
      <c r="AI419" s="222"/>
      <c r="AJ419" s="222"/>
      <c r="AK419" s="222"/>
      <c r="AL419" s="222"/>
      <c r="AM419" s="222"/>
      <c r="AN419" s="222"/>
      <c r="AO419" s="222"/>
      <c r="AP419" s="222"/>
      <c r="AQ419" s="222"/>
      <c r="AR419" s="222"/>
      <c r="AS419" s="222"/>
      <c r="AT419" s="222"/>
      <c r="AU419" s="222"/>
      <c r="AV419" s="222"/>
      <c r="AW419" s="222"/>
      <c r="AX419" s="222"/>
    </row>
    <row r="420" spans="1:50" ht="15.75" customHeight="1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  <c r="AC420" s="222"/>
      <c r="AD420" s="222"/>
      <c r="AE420" s="222"/>
      <c r="AF420" s="222"/>
      <c r="AG420" s="222"/>
      <c r="AH420" s="222"/>
      <c r="AI420" s="222"/>
      <c r="AJ420" s="222"/>
      <c r="AK420" s="222"/>
      <c r="AL420" s="222"/>
      <c r="AM420" s="222"/>
      <c r="AN420" s="222"/>
      <c r="AO420" s="222"/>
      <c r="AP420" s="222"/>
      <c r="AQ420" s="222"/>
      <c r="AR420" s="222"/>
      <c r="AS420" s="222"/>
      <c r="AT420" s="222"/>
      <c r="AU420" s="222"/>
      <c r="AV420" s="222"/>
      <c r="AW420" s="222"/>
      <c r="AX420" s="222"/>
    </row>
    <row r="421" spans="1:50" ht="15.75" customHeight="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  <c r="AC421" s="222"/>
      <c r="AD421" s="222"/>
      <c r="AE421" s="222"/>
      <c r="AF421" s="222"/>
      <c r="AG421" s="222"/>
      <c r="AH421" s="222"/>
      <c r="AI421" s="222"/>
      <c r="AJ421" s="222"/>
      <c r="AK421" s="222"/>
      <c r="AL421" s="222"/>
      <c r="AM421" s="222"/>
      <c r="AN421" s="222"/>
      <c r="AO421" s="222"/>
      <c r="AP421" s="222"/>
      <c r="AQ421" s="222"/>
      <c r="AR421" s="222"/>
      <c r="AS421" s="222"/>
      <c r="AT421" s="222"/>
      <c r="AU421" s="222"/>
      <c r="AV421" s="222"/>
      <c r="AW421" s="222"/>
      <c r="AX421" s="222"/>
    </row>
    <row r="422" spans="1:50" ht="15.75" customHeight="1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  <c r="AC422" s="222"/>
      <c r="AD422" s="222"/>
      <c r="AE422" s="222"/>
      <c r="AF422" s="222"/>
      <c r="AG422" s="222"/>
      <c r="AH422" s="222"/>
      <c r="AI422" s="222"/>
      <c r="AJ422" s="222"/>
      <c r="AK422" s="222"/>
      <c r="AL422" s="222"/>
      <c r="AM422" s="222"/>
      <c r="AN422" s="222"/>
      <c r="AO422" s="222"/>
      <c r="AP422" s="222"/>
      <c r="AQ422" s="222"/>
      <c r="AR422" s="222"/>
      <c r="AS422" s="222"/>
      <c r="AT422" s="222"/>
      <c r="AU422" s="222"/>
      <c r="AV422" s="222"/>
      <c r="AW422" s="222"/>
      <c r="AX422" s="222"/>
    </row>
    <row r="423" spans="1:50" ht="15.75" customHeight="1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  <c r="AQ423" s="222"/>
      <c r="AR423" s="222"/>
      <c r="AS423" s="222"/>
      <c r="AT423" s="222"/>
      <c r="AU423" s="222"/>
      <c r="AV423" s="222"/>
      <c r="AW423" s="222"/>
      <c r="AX423" s="222"/>
    </row>
    <row r="424" spans="1:50" ht="15.75" customHeight="1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  <c r="AC424" s="222"/>
      <c r="AD424" s="222"/>
      <c r="AE424" s="222"/>
      <c r="AF424" s="222"/>
      <c r="AG424" s="222"/>
      <c r="AH424" s="222"/>
      <c r="AI424" s="222"/>
      <c r="AJ424" s="222"/>
      <c r="AK424" s="222"/>
      <c r="AL424" s="222"/>
      <c r="AM424" s="222"/>
      <c r="AN424" s="222"/>
      <c r="AO424" s="222"/>
      <c r="AP424" s="222"/>
      <c r="AQ424" s="222"/>
      <c r="AR424" s="222"/>
      <c r="AS424" s="222"/>
      <c r="AT424" s="222"/>
      <c r="AU424" s="222"/>
      <c r="AV424" s="222"/>
      <c r="AW424" s="222"/>
      <c r="AX424" s="222"/>
    </row>
    <row r="425" spans="1:50" ht="15.75" customHeight="1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  <c r="AC425" s="222"/>
      <c r="AD425" s="222"/>
      <c r="AE425" s="222"/>
      <c r="AF425" s="222"/>
      <c r="AG425" s="222"/>
      <c r="AH425" s="222"/>
      <c r="AI425" s="222"/>
      <c r="AJ425" s="222"/>
      <c r="AK425" s="222"/>
      <c r="AL425" s="222"/>
      <c r="AM425" s="222"/>
      <c r="AN425" s="222"/>
      <c r="AO425" s="222"/>
      <c r="AP425" s="222"/>
      <c r="AQ425" s="222"/>
      <c r="AR425" s="222"/>
      <c r="AS425" s="222"/>
      <c r="AT425" s="222"/>
      <c r="AU425" s="222"/>
      <c r="AV425" s="222"/>
      <c r="AW425" s="222"/>
      <c r="AX425" s="222"/>
    </row>
    <row r="426" spans="1:50" ht="15.75" customHeight="1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  <c r="AC426" s="222"/>
      <c r="AD426" s="222"/>
      <c r="AE426" s="222"/>
      <c r="AF426" s="222"/>
      <c r="AG426" s="222"/>
      <c r="AH426" s="222"/>
      <c r="AI426" s="222"/>
      <c r="AJ426" s="222"/>
      <c r="AK426" s="222"/>
      <c r="AL426" s="222"/>
      <c r="AM426" s="222"/>
      <c r="AN426" s="222"/>
      <c r="AO426" s="222"/>
      <c r="AP426" s="222"/>
      <c r="AQ426" s="222"/>
      <c r="AR426" s="222"/>
      <c r="AS426" s="222"/>
      <c r="AT426" s="222"/>
      <c r="AU426" s="222"/>
      <c r="AV426" s="222"/>
      <c r="AW426" s="222"/>
      <c r="AX426" s="222"/>
    </row>
    <row r="427" spans="1:50" ht="15.75" customHeight="1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  <c r="AC427" s="222"/>
      <c r="AD427" s="222"/>
      <c r="AE427" s="222"/>
      <c r="AF427" s="222"/>
      <c r="AG427" s="222"/>
      <c r="AH427" s="222"/>
      <c r="AI427" s="222"/>
      <c r="AJ427" s="222"/>
      <c r="AK427" s="222"/>
      <c r="AL427" s="222"/>
      <c r="AM427" s="222"/>
      <c r="AN427" s="222"/>
      <c r="AO427" s="222"/>
      <c r="AP427" s="222"/>
      <c r="AQ427" s="222"/>
      <c r="AR427" s="222"/>
      <c r="AS427" s="222"/>
      <c r="AT427" s="222"/>
      <c r="AU427" s="222"/>
      <c r="AV427" s="222"/>
      <c r="AW427" s="222"/>
      <c r="AX427" s="222"/>
    </row>
    <row r="428" spans="1:50" ht="15.75" customHeight="1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  <c r="AC428" s="222"/>
      <c r="AD428" s="222"/>
      <c r="AE428" s="222"/>
      <c r="AF428" s="222"/>
      <c r="AG428" s="222"/>
      <c r="AH428" s="222"/>
      <c r="AI428" s="222"/>
      <c r="AJ428" s="222"/>
      <c r="AK428" s="222"/>
      <c r="AL428" s="222"/>
      <c r="AM428" s="222"/>
      <c r="AN428" s="222"/>
      <c r="AO428" s="222"/>
      <c r="AP428" s="222"/>
      <c r="AQ428" s="222"/>
      <c r="AR428" s="222"/>
      <c r="AS428" s="222"/>
      <c r="AT428" s="222"/>
      <c r="AU428" s="222"/>
      <c r="AV428" s="222"/>
      <c r="AW428" s="222"/>
      <c r="AX428" s="222"/>
    </row>
    <row r="429" spans="1:50" ht="15.75" customHeight="1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  <c r="AC429" s="222"/>
      <c r="AD429" s="222"/>
      <c r="AE429" s="222"/>
      <c r="AF429" s="222"/>
      <c r="AG429" s="222"/>
      <c r="AH429" s="222"/>
      <c r="AI429" s="222"/>
      <c r="AJ429" s="222"/>
      <c r="AK429" s="222"/>
      <c r="AL429" s="222"/>
      <c r="AM429" s="222"/>
      <c r="AN429" s="222"/>
      <c r="AO429" s="222"/>
      <c r="AP429" s="222"/>
      <c r="AQ429" s="222"/>
      <c r="AR429" s="222"/>
      <c r="AS429" s="222"/>
      <c r="AT429" s="222"/>
      <c r="AU429" s="222"/>
      <c r="AV429" s="222"/>
      <c r="AW429" s="222"/>
      <c r="AX429" s="222"/>
    </row>
    <row r="430" spans="1:50" ht="15.75" customHeight="1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  <c r="AC430" s="222"/>
      <c r="AD430" s="222"/>
      <c r="AE430" s="222"/>
      <c r="AF430" s="222"/>
      <c r="AG430" s="222"/>
      <c r="AH430" s="222"/>
      <c r="AI430" s="222"/>
      <c r="AJ430" s="222"/>
      <c r="AK430" s="222"/>
      <c r="AL430" s="222"/>
      <c r="AM430" s="222"/>
      <c r="AN430" s="222"/>
      <c r="AO430" s="222"/>
      <c r="AP430" s="222"/>
      <c r="AQ430" s="222"/>
      <c r="AR430" s="222"/>
      <c r="AS430" s="222"/>
      <c r="AT430" s="222"/>
      <c r="AU430" s="222"/>
      <c r="AV430" s="222"/>
      <c r="AW430" s="222"/>
      <c r="AX430" s="222"/>
    </row>
    <row r="431" spans="1:50" ht="15.75" customHeight="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  <c r="AC431" s="222"/>
      <c r="AD431" s="222"/>
      <c r="AE431" s="222"/>
      <c r="AF431" s="222"/>
      <c r="AG431" s="222"/>
      <c r="AH431" s="222"/>
      <c r="AI431" s="222"/>
      <c r="AJ431" s="222"/>
      <c r="AK431" s="222"/>
      <c r="AL431" s="222"/>
      <c r="AM431" s="222"/>
      <c r="AN431" s="222"/>
      <c r="AO431" s="222"/>
      <c r="AP431" s="222"/>
      <c r="AQ431" s="222"/>
      <c r="AR431" s="222"/>
      <c r="AS431" s="222"/>
      <c r="AT431" s="222"/>
      <c r="AU431" s="222"/>
      <c r="AV431" s="222"/>
      <c r="AW431" s="222"/>
      <c r="AX431" s="222"/>
    </row>
    <row r="432" spans="1:50" ht="15.75" customHeight="1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  <c r="AC432" s="222"/>
      <c r="AD432" s="222"/>
      <c r="AE432" s="222"/>
      <c r="AF432" s="222"/>
      <c r="AG432" s="222"/>
      <c r="AH432" s="222"/>
      <c r="AI432" s="222"/>
      <c r="AJ432" s="222"/>
      <c r="AK432" s="222"/>
      <c r="AL432" s="222"/>
      <c r="AM432" s="222"/>
      <c r="AN432" s="222"/>
      <c r="AO432" s="222"/>
      <c r="AP432" s="222"/>
      <c r="AQ432" s="222"/>
      <c r="AR432" s="222"/>
      <c r="AS432" s="222"/>
      <c r="AT432" s="222"/>
      <c r="AU432" s="222"/>
      <c r="AV432" s="222"/>
      <c r="AW432" s="222"/>
      <c r="AX432" s="222"/>
    </row>
    <row r="433" spans="1:50" ht="15.75" customHeight="1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  <c r="AC433" s="222"/>
      <c r="AD433" s="222"/>
      <c r="AE433" s="222"/>
      <c r="AF433" s="222"/>
      <c r="AG433" s="222"/>
      <c r="AH433" s="222"/>
      <c r="AI433" s="222"/>
      <c r="AJ433" s="222"/>
      <c r="AK433" s="222"/>
      <c r="AL433" s="222"/>
      <c r="AM433" s="222"/>
      <c r="AN433" s="222"/>
      <c r="AO433" s="222"/>
      <c r="AP433" s="222"/>
      <c r="AQ433" s="222"/>
      <c r="AR433" s="222"/>
      <c r="AS433" s="222"/>
      <c r="AT433" s="222"/>
      <c r="AU433" s="222"/>
      <c r="AV433" s="222"/>
      <c r="AW433" s="222"/>
      <c r="AX433" s="222"/>
    </row>
    <row r="434" spans="1:50" ht="15.75" customHeight="1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  <c r="AC434" s="222"/>
      <c r="AD434" s="222"/>
      <c r="AE434" s="222"/>
      <c r="AF434" s="222"/>
      <c r="AG434" s="222"/>
      <c r="AH434" s="222"/>
      <c r="AI434" s="222"/>
      <c r="AJ434" s="222"/>
      <c r="AK434" s="222"/>
      <c r="AL434" s="222"/>
      <c r="AM434" s="222"/>
      <c r="AN434" s="222"/>
      <c r="AO434" s="222"/>
      <c r="AP434" s="222"/>
      <c r="AQ434" s="222"/>
      <c r="AR434" s="222"/>
      <c r="AS434" s="222"/>
      <c r="AT434" s="222"/>
      <c r="AU434" s="222"/>
      <c r="AV434" s="222"/>
      <c r="AW434" s="222"/>
      <c r="AX434" s="222"/>
    </row>
    <row r="435" spans="1:50" ht="15.75" customHeight="1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  <c r="AC435" s="222"/>
      <c r="AD435" s="222"/>
      <c r="AE435" s="222"/>
      <c r="AF435" s="222"/>
      <c r="AG435" s="222"/>
      <c r="AH435" s="222"/>
      <c r="AI435" s="222"/>
      <c r="AJ435" s="222"/>
      <c r="AK435" s="222"/>
      <c r="AL435" s="222"/>
      <c r="AM435" s="222"/>
      <c r="AN435" s="222"/>
      <c r="AO435" s="222"/>
      <c r="AP435" s="222"/>
      <c r="AQ435" s="222"/>
      <c r="AR435" s="222"/>
      <c r="AS435" s="222"/>
      <c r="AT435" s="222"/>
      <c r="AU435" s="222"/>
      <c r="AV435" s="222"/>
      <c r="AW435" s="222"/>
      <c r="AX435" s="222"/>
    </row>
    <row r="436" spans="1:50" ht="15.75" customHeight="1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  <c r="AC436" s="222"/>
      <c r="AD436" s="222"/>
      <c r="AE436" s="222"/>
      <c r="AF436" s="222"/>
      <c r="AG436" s="222"/>
      <c r="AH436" s="222"/>
      <c r="AI436" s="222"/>
      <c r="AJ436" s="222"/>
      <c r="AK436" s="222"/>
      <c r="AL436" s="222"/>
      <c r="AM436" s="222"/>
      <c r="AN436" s="222"/>
      <c r="AO436" s="222"/>
      <c r="AP436" s="222"/>
      <c r="AQ436" s="222"/>
      <c r="AR436" s="222"/>
      <c r="AS436" s="222"/>
      <c r="AT436" s="222"/>
      <c r="AU436" s="222"/>
      <c r="AV436" s="222"/>
      <c r="AW436" s="222"/>
      <c r="AX436" s="222"/>
    </row>
    <row r="437" spans="1:50" ht="15.75" customHeight="1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  <c r="AC437" s="222"/>
      <c r="AD437" s="222"/>
      <c r="AE437" s="222"/>
      <c r="AF437" s="222"/>
      <c r="AG437" s="222"/>
      <c r="AH437" s="222"/>
      <c r="AI437" s="222"/>
      <c r="AJ437" s="222"/>
      <c r="AK437" s="222"/>
      <c r="AL437" s="222"/>
      <c r="AM437" s="222"/>
      <c r="AN437" s="222"/>
      <c r="AO437" s="222"/>
      <c r="AP437" s="222"/>
      <c r="AQ437" s="222"/>
      <c r="AR437" s="222"/>
      <c r="AS437" s="222"/>
      <c r="AT437" s="222"/>
      <c r="AU437" s="222"/>
      <c r="AV437" s="222"/>
      <c r="AW437" s="222"/>
      <c r="AX437" s="222"/>
    </row>
    <row r="438" spans="1:50" ht="15.75" customHeight="1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  <c r="AC438" s="222"/>
      <c r="AD438" s="222"/>
      <c r="AE438" s="222"/>
      <c r="AF438" s="222"/>
      <c r="AG438" s="222"/>
      <c r="AH438" s="222"/>
      <c r="AI438" s="222"/>
      <c r="AJ438" s="222"/>
      <c r="AK438" s="222"/>
      <c r="AL438" s="222"/>
      <c r="AM438" s="222"/>
      <c r="AN438" s="222"/>
      <c r="AO438" s="222"/>
      <c r="AP438" s="222"/>
      <c r="AQ438" s="222"/>
      <c r="AR438" s="222"/>
      <c r="AS438" s="222"/>
      <c r="AT438" s="222"/>
      <c r="AU438" s="222"/>
      <c r="AV438" s="222"/>
      <c r="AW438" s="222"/>
      <c r="AX438" s="222"/>
    </row>
    <row r="439" spans="1:50" ht="15.75" customHeight="1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  <c r="AC439" s="222"/>
      <c r="AD439" s="222"/>
      <c r="AE439" s="222"/>
      <c r="AF439" s="222"/>
      <c r="AG439" s="222"/>
      <c r="AH439" s="222"/>
      <c r="AI439" s="222"/>
      <c r="AJ439" s="222"/>
      <c r="AK439" s="222"/>
      <c r="AL439" s="222"/>
      <c r="AM439" s="222"/>
      <c r="AN439" s="222"/>
      <c r="AO439" s="222"/>
      <c r="AP439" s="222"/>
      <c r="AQ439" s="222"/>
      <c r="AR439" s="222"/>
      <c r="AS439" s="222"/>
      <c r="AT439" s="222"/>
      <c r="AU439" s="222"/>
      <c r="AV439" s="222"/>
      <c r="AW439" s="222"/>
      <c r="AX439" s="222"/>
    </row>
    <row r="440" spans="1:50" ht="15.75" customHeight="1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  <c r="AC440" s="222"/>
      <c r="AD440" s="222"/>
      <c r="AE440" s="222"/>
      <c r="AF440" s="222"/>
      <c r="AG440" s="222"/>
      <c r="AH440" s="222"/>
      <c r="AI440" s="222"/>
      <c r="AJ440" s="222"/>
      <c r="AK440" s="222"/>
      <c r="AL440" s="222"/>
      <c r="AM440" s="222"/>
      <c r="AN440" s="222"/>
      <c r="AO440" s="222"/>
      <c r="AP440" s="222"/>
      <c r="AQ440" s="222"/>
      <c r="AR440" s="222"/>
      <c r="AS440" s="222"/>
      <c r="AT440" s="222"/>
      <c r="AU440" s="222"/>
      <c r="AV440" s="222"/>
      <c r="AW440" s="222"/>
      <c r="AX440" s="222"/>
    </row>
    <row r="441" spans="1:50" ht="15.75" customHeight="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  <c r="AC441" s="222"/>
      <c r="AD441" s="222"/>
      <c r="AE441" s="222"/>
      <c r="AF441" s="222"/>
      <c r="AG441" s="222"/>
      <c r="AH441" s="222"/>
      <c r="AI441" s="222"/>
      <c r="AJ441" s="222"/>
      <c r="AK441" s="222"/>
      <c r="AL441" s="222"/>
      <c r="AM441" s="222"/>
      <c r="AN441" s="222"/>
      <c r="AO441" s="222"/>
      <c r="AP441" s="222"/>
      <c r="AQ441" s="222"/>
      <c r="AR441" s="222"/>
      <c r="AS441" s="222"/>
      <c r="AT441" s="222"/>
      <c r="AU441" s="222"/>
      <c r="AV441" s="222"/>
      <c r="AW441" s="222"/>
      <c r="AX441" s="222"/>
    </row>
    <row r="442" spans="1:50" ht="15.75" customHeight="1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  <c r="AC442" s="222"/>
      <c r="AD442" s="222"/>
      <c r="AE442" s="222"/>
      <c r="AF442" s="222"/>
      <c r="AG442" s="222"/>
      <c r="AH442" s="222"/>
      <c r="AI442" s="222"/>
      <c r="AJ442" s="222"/>
      <c r="AK442" s="222"/>
      <c r="AL442" s="222"/>
      <c r="AM442" s="222"/>
      <c r="AN442" s="222"/>
      <c r="AO442" s="222"/>
      <c r="AP442" s="222"/>
      <c r="AQ442" s="222"/>
      <c r="AR442" s="222"/>
      <c r="AS442" s="222"/>
      <c r="AT442" s="222"/>
      <c r="AU442" s="222"/>
      <c r="AV442" s="222"/>
      <c r="AW442" s="222"/>
      <c r="AX442" s="222"/>
    </row>
    <row r="443" spans="1:50" ht="15.75" customHeight="1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  <c r="AC443" s="222"/>
      <c r="AD443" s="222"/>
      <c r="AE443" s="222"/>
      <c r="AF443" s="222"/>
      <c r="AG443" s="222"/>
      <c r="AH443" s="222"/>
      <c r="AI443" s="222"/>
      <c r="AJ443" s="222"/>
      <c r="AK443" s="222"/>
      <c r="AL443" s="222"/>
      <c r="AM443" s="222"/>
      <c r="AN443" s="222"/>
      <c r="AO443" s="222"/>
      <c r="AP443" s="222"/>
      <c r="AQ443" s="222"/>
      <c r="AR443" s="222"/>
      <c r="AS443" s="222"/>
      <c r="AT443" s="222"/>
      <c r="AU443" s="222"/>
      <c r="AV443" s="222"/>
      <c r="AW443" s="222"/>
      <c r="AX443" s="222"/>
    </row>
    <row r="444" spans="1:50" ht="15.75" customHeight="1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  <c r="AC444" s="222"/>
      <c r="AD444" s="222"/>
      <c r="AE444" s="222"/>
      <c r="AF444" s="222"/>
      <c r="AG444" s="222"/>
      <c r="AH444" s="222"/>
      <c r="AI444" s="222"/>
      <c r="AJ444" s="222"/>
      <c r="AK444" s="222"/>
      <c r="AL444" s="222"/>
      <c r="AM444" s="222"/>
      <c r="AN444" s="222"/>
      <c r="AO444" s="222"/>
      <c r="AP444" s="222"/>
      <c r="AQ444" s="222"/>
      <c r="AR444" s="222"/>
      <c r="AS444" s="222"/>
      <c r="AT444" s="222"/>
      <c r="AU444" s="222"/>
      <c r="AV444" s="222"/>
      <c r="AW444" s="222"/>
      <c r="AX444" s="222"/>
    </row>
    <row r="445" spans="1:50" ht="15.75" customHeight="1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  <c r="AC445" s="222"/>
      <c r="AD445" s="222"/>
      <c r="AE445" s="222"/>
      <c r="AF445" s="222"/>
      <c r="AG445" s="222"/>
      <c r="AH445" s="222"/>
      <c r="AI445" s="222"/>
      <c r="AJ445" s="222"/>
      <c r="AK445" s="222"/>
      <c r="AL445" s="222"/>
      <c r="AM445" s="222"/>
      <c r="AN445" s="222"/>
      <c r="AO445" s="222"/>
      <c r="AP445" s="222"/>
      <c r="AQ445" s="222"/>
      <c r="AR445" s="222"/>
      <c r="AS445" s="222"/>
      <c r="AT445" s="222"/>
      <c r="AU445" s="222"/>
      <c r="AV445" s="222"/>
      <c r="AW445" s="222"/>
      <c r="AX445" s="222"/>
    </row>
    <row r="446" spans="1:50" ht="15.75" customHeight="1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  <c r="AC446" s="222"/>
      <c r="AD446" s="222"/>
      <c r="AE446" s="222"/>
      <c r="AF446" s="222"/>
      <c r="AG446" s="222"/>
      <c r="AH446" s="222"/>
      <c r="AI446" s="222"/>
      <c r="AJ446" s="222"/>
      <c r="AK446" s="222"/>
      <c r="AL446" s="222"/>
      <c r="AM446" s="222"/>
      <c r="AN446" s="222"/>
      <c r="AO446" s="222"/>
      <c r="AP446" s="222"/>
      <c r="AQ446" s="222"/>
      <c r="AR446" s="222"/>
      <c r="AS446" s="222"/>
      <c r="AT446" s="222"/>
      <c r="AU446" s="222"/>
      <c r="AV446" s="222"/>
      <c r="AW446" s="222"/>
      <c r="AX446" s="222"/>
    </row>
    <row r="447" spans="1:50" ht="15.75" customHeight="1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  <c r="AC447" s="222"/>
      <c r="AD447" s="222"/>
      <c r="AE447" s="222"/>
      <c r="AF447" s="222"/>
      <c r="AG447" s="222"/>
      <c r="AH447" s="222"/>
      <c r="AI447" s="222"/>
      <c r="AJ447" s="222"/>
      <c r="AK447" s="222"/>
      <c r="AL447" s="222"/>
      <c r="AM447" s="222"/>
      <c r="AN447" s="222"/>
      <c r="AO447" s="222"/>
      <c r="AP447" s="222"/>
      <c r="AQ447" s="222"/>
      <c r="AR447" s="222"/>
      <c r="AS447" s="222"/>
      <c r="AT447" s="222"/>
      <c r="AU447" s="222"/>
      <c r="AV447" s="222"/>
      <c r="AW447" s="222"/>
      <c r="AX447" s="222"/>
    </row>
    <row r="448" spans="1:50" ht="15.75" customHeight="1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  <c r="AC448" s="222"/>
      <c r="AD448" s="222"/>
      <c r="AE448" s="222"/>
      <c r="AF448" s="222"/>
      <c r="AG448" s="222"/>
      <c r="AH448" s="222"/>
      <c r="AI448" s="222"/>
      <c r="AJ448" s="222"/>
      <c r="AK448" s="222"/>
      <c r="AL448" s="222"/>
      <c r="AM448" s="222"/>
      <c r="AN448" s="222"/>
      <c r="AO448" s="222"/>
      <c r="AP448" s="222"/>
      <c r="AQ448" s="222"/>
      <c r="AR448" s="222"/>
      <c r="AS448" s="222"/>
      <c r="AT448" s="222"/>
      <c r="AU448" s="222"/>
      <c r="AV448" s="222"/>
      <c r="AW448" s="222"/>
      <c r="AX448" s="222"/>
    </row>
    <row r="449" spans="1:50" ht="15.75" customHeight="1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  <c r="AC449" s="222"/>
      <c r="AD449" s="222"/>
      <c r="AE449" s="222"/>
      <c r="AF449" s="222"/>
      <c r="AG449" s="222"/>
      <c r="AH449" s="222"/>
      <c r="AI449" s="222"/>
      <c r="AJ449" s="222"/>
      <c r="AK449" s="222"/>
      <c r="AL449" s="222"/>
      <c r="AM449" s="222"/>
      <c r="AN449" s="222"/>
      <c r="AO449" s="222"/>
      <c r="AP449" s="222"/>
      <c r="AQ449" s="222"/>
      <c r="AR449" s="222"/>
      <c r="AS449" s="222"/>
      <c r="AT449" s="222"/>
      <c r="AU449" s="222"/>
      <c r="AV449" s="222"/>
      <c r="AW449" s="222"/>
      <c r="AX449" s="222"/>
    </row>
    <row r="450" spans="1:50" ht="15.75" customHeight="1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2"/>
      <c r="AE450" s="222"/>
      <c r="AF450" s="222"/>
      <c r="AG450" s="222"/>
      <c r="AH450" s="222"/>
      <c r="AI450" s="222"/>
      <c r="AJ450" s="222"/>
      <c r="AK450" s="222"/>
      <c r="AL450" s="222"/>
      <c r="AM450" s="222"/>
      <c r="AN450" s="222"/>
      <c r="AO450" s="222"/>
      <c r="AP450" s="222"/>
      <c r="AQ450" s="222"/>
      <c r="AR450" s="222"/>
      <c r="AS450" s="222"/>
      <c r="AT450" s="222"/>
      <c r="AU450" s="222"/>
      <c r="AV450" s="222"/>
      <c r="AW450" s="222"/>
      <c r="AX450" s="222"/>
    </row>
    <row r="451" spans="1:50" ht="15.75" customHeight="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  <c r="AC451" s="222"/>
      <c r="AD451" s="222"/>
      <c r="AE451" s="222"/>
      <c r="AF451" s="222"/>
      <c r="AG451" s="222"/>
      <c r="AH451" s="222"/>
      <c r="AI451" s="222"/>
      <c r="AJ451" s="222"/>
      <c r="AK451" s="222"/>
      <c r="AL451" s="222"/>
      <c r="AM451" s="222"/>
      <c r="AN451" s="222"/>
      <c r="AO451" s="222"/>
      <c r="AP451" s="222"/>
      <c r="AQ451" s="222"/>
      <c r="AR451" s="222"/>
      <c r="AS451" s="222"/>
      <c r="AT451" s="222"/>
      <c r="AU451" s="222"/>
      <c r="AV451" s="222"/>
      <c r="AW451" s="222"/>
      <c r="AX451" s="222"/>
    </row>
    <row r="452" spans="1:50" ht="15.75" customHeight="1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  <c r="AC452" s="222"/>
      <c r="AD452" s="222"/>
      <c r="AE452" s="222"/>
      <c r="AF452" s="222"/>
      <c r="AG452" s="222"/>
      <c r="AH452" s="222"/>
      <c r="AI452" s="222"/>
      <c r="AJ452" s="222"/>
      <c r="AK452" s="222"/>
      <c r="AL452" s="222"/>
      <c r="AM452" s="222"/>
      <c r="AN452" s="222"/>
      <c r="AO452" s="222"/>
      <c r="AP452" s="222"/>
      <c r="AQ452" s="222"/>
      <c r="AR452" s="222"/>
      <c r="AS452" s="222"/>
      <c r="AT452" s="222"/>
      <c r="AU452" s="222"/>
      <c r="AV452" s="222"/>
      <c r="AW452" s="222"/>
      <c r="AX452" s="222"/>
    </row>
    <row r="453" spans="1:50" ht="15.75" customHeight="1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  <c r="AC453" s="222"/>
      <c r="AD453" s="222"/>
      <c r="AE453" s="222"/>
      <c r="AF453" s="222"/>
      <c r="AG453" s="222"/>
      <c r="AH453" s="222"/>
      <c r="AI453" s="222"/>
      <c r="AJ453" s="222"/>
      <c r="AK453" s="222"/>
      <c r="AL453" s="222"/>
      <c r="AM453" s="222"/>
      <c r="AN453" s="222"/>
      <c r="AO453" s="222"/>
      <c r="AP453" s="222"/>
      <c r="AQ453" s="222"/>
      <c r="AR453" s="222"/>
      <c r="AS453" s="222"/>
      <c r="AT453" s="222"/>
      <c r="AU453" s="222"/>
      <c r="AV453" s="222"/>
      <c r="AW453" s="222"/>
      <c r="AX453" s="222"/>
    </row>
    <row r="454" spans="1:50" ht="15.75" customHeight="1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  <c r="AC454" s="222"/>
      <c r="AD454" s="222"/>
      <c r="AE454" s="222"/>
      <c r="AF454" s="222"/>
      <c r="AG454" s="222"/>
      <c r="AH454" s="222"/>
      <c r="AI454" s="222"/>
      <c r="AJ454" s="222"/>
      <c r="AK454" s="222"/>
      <c r="AL454" s="222"/>
      <c r="AM454" s="222"/>
      <c r="AN454" s="222"/>
      <c r="AO454" s="222"/>
      <c r="AP454" s="222"/>
      <c r="AQ454" s="222"/>
      <c r="AR454" s="222"/>
      <c r="AS454" s="222"/>
      <c r="AT454" s="222"/>
      <c r="AU454" s="222"/>
      <c r="AV454" s="222"/>
      <c r="AW454" s="222"/>
      <c r="AX454" s="222"/>
    </row>
    <row r="455" spans="1:50" ht="15.75" customHeight="1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  <c r="AM455" s="222"/>
      <c r="AN455" s="222"/>
      <c r="AO455" s="222"/>
      <c r="AP455" s="222"/>
      <c r="AQ455" s="222"/>
      <c r="AR455" s="222"/>
      <c r="AS455" s="222"/>
      <c r="AT455" s="222"/>
      <c r="AU455" s="222"/>
      <c r="AV455" s="222"/>
      <c r="AW455" s="222"/>
      <c r="AX455" s="222"/>
    </row>
    <row r="456" spans="1:50" ht="15.75" customHeight="1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  <c r="AC456" s="222"/>
      <c r="AD456" s="222"/>
      <c r="AE456" s="222"/>
      <c r="AF456" s="222"/>
      <c r="AG456" s="222"/>
      <c r="AH456" s="222"/>
      <c r="AI456" s="222"/>
      <c r="AJ456" s="222"/>
      <c r="AK456" s="222"/>
      <c r="AL456" s="222"/>
      <c r="AM456" s="222"/>
      <c r="AN456" s="222"/>
      <c r="AO456" s="222"/>
      <c r="AP456" s="222"/>
      <c r="AQ456" s="222"/>
      <c r="AR456" s="222"/>
      <c r="AS456" s="222"/>
      <c r="AT456" s="222"/>
      <c r="AU456" s="222"/>
      <c r="AV456" s="222"/>
      <c r="AW456" s="222"/>
      <c r="AX456" s="222"/>
    </row>
    <row r="457" spans="1:50" ht="15.75" customHeight="1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  <c r="AC457" s="222"/>
      <c r="AD457" s="222"/>
      <c r="AE457" s="222"/>
      <c r="AF457" s="222"/>
      <c r="AG457" s="222"/>
      <c r="AH457" s="222"/>
      <c r="AI457" s="222"/>
      <c r="AJ457" s="222"/>
      <c r="AK457" s="222"/>
      <c r="AL457" s="222"/>
      <c r="AM457" s="222"/>
      <c r="AN457" s="222"/>
      <c r="AO457" s="222"/>
      <c r="AP457" s="222"/>
      <c r="AQ457" s="222"/>
      <c r="AR457" s="222"/>
      <c r="AS457" s="222"/>
      <c r="AT457" s="222"/>
      <c r="AU457" s="222"/>
      <c r="AV457" s="222"/>
      <c r="AW457" s="222"/>
      <c r="AX457" s="222"/>
    </row>
    <row r="458" spans="1:50" ht="15.75" customHeight="1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  <c r="AC458" s="222"/>
      <c r="AD458" s="222"/>
      <c r="AE458" s="222"/>
      <c r="AF458" s="222"/>
      <c r="AG458" s="222"/>
      <c r="AH458" s="222"/>
      <c r="AI458" s="222"/>
      <c r="AJ458" s="222"/>
      <c r="AK458" s="222"/>
      <c r="AL458" s="222"/>
      <c r="AM458" s="222"/>
      <c r="AN458" s="222"/>
      <c r="AO458" s="222"/>
      <c r="AP458" s="222"/>
      <c r="AQ458" s="222"/>
      <c r="AR458" s="222"/>
      <c r="AS458" s="222"/>
      <c r="AT458" s="222"/>
      <c r="AU458" s="222"/>
      <c r="AV458" s="222"/>
      <c r="AW458" s="222"/>
      <c r="AX458" s="222"/>
    </row>
    <row r="459" spans="1:50" ht="15.75" customHeight="1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  <c r="AC459" s="222"/>
      <c r="AD459" s="222"/>
      <c r="AE459" s="222"/>
      <c r="AF459" s="222"/>
      <c r="AG459" s="222"/>
      <c r="AH459" s="222"/>
      <c r="AI459" s="222"/>
      <c r="AJ459" s="222"/>
      <c r="AK459" s="222"/>
      <c r="AL459" s="222"/>
      <c r="AM459" s="222"/>
      <c r="AN459" s="222"/>
      <c r="AO459" s="222"/>
      <c r="AP459" s="222"/>
      <c r="AQ459" s="222"/>
      <c r="AR459" s="222"/>
      <c r="AS459" s="222"/>
      <c r="AT459" s="222"/>
      <c r="AU459" s="222"/>
      <c r="AV459" s="222"/>
      <c r="AW459" s="222"/>
      <c r="AX459" s="222"/>
    </row>
    <row r="460" spans="1:50" ht="15.75" customHeight="1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  <c r="AC460" s="222"/>
      <c r="AD460" s="222"/>
      <c r="AE460" s="222"/>
      <c r="AF460" s="222"/>
      <c r="AG460" s="222"/>
      <c r="AH460" s="222"/>
      <c r="AI460" s="222"/>
      <c r="AJ460" s="222"/>
      <c r="AK460" s="222"/>
      <c r="AL460" s="222"/>
      <c r="AM460" s="222"/>
      <c r="AN460" s="222"/>
      <c r="AO460" s="222"/>
      <c r="AP460" s="222"/>
      <c r="AQ460" s="222"/>
      <c r="AR460" s="222"/>
      <c r="AS460" s="222"/>
      <c r="AT460" s="222"/>
      <c r="AU460" s="222"/>
      <c r="AV460" s="222"/>
      <c r="AW460" s="222"/>
      <c r="AX460" s="222"/>
    </row>
    <row r="461" spans="1:50" ht="15.75" customHeight="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  <c r="AC461" s="222"/>
      <c r="AD461" s="222"/>
      <c r="AE461" s="222"/>
      <c r="AF461" s="222"/>
      <c r="AG461" s="222"/>
      <c r="AH461" s="222"/>
      <c r="AI461" s="222"/>
      <c r="AJ461" s="222"/>
      <c r="AK461" s="222"/>
      <c r="AL461" s="222"/>
      <c r="AM461" s="222"/>
      <c r="AN461" s="222"/>
      <c r="AO461" s="222"/>
      <c r="AP461" s="222"/>
      <c r="AQ461" s="222"/>
      <c r="AR461" s="222"/>
      <c r="AS461" s="222"/>
      <c r="AT461" s="222"/>
      <c r="AU461" s="222"/>
      <c r="AV461" s="222"/>
      <c r="AW461" s="222"/>
      <c r="AX461" s="222"/>
    </row>
    <row r="462" spans="1:50" ht="15.75" customHeight="1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  <c r="AC462" s="222"/>
      <c r="AD462" s="222"/>
      <c r="AE462" s="222"/>
      <c r="AF462" s="222"/>
      <c r="AG462" s="222"/>
      <c r="AH462" s="222"/>
      <c r="AI462" s="222"/>
      <c r="AJ462" s="222"/>
      <c r="AK462" s="222"/>
      <c r="AL462" s="222"/>
      <c r="AM462" s="222"/>
      <c r="AN462" s="222"/>
      <c r="AO462" s="222"/>
      <c r="AP462" s="222"/>
      <c r="AQ462" s="222"/>
      <c r="AR462" s="222"/>
      <c r="AS462" s="222"/>
      <c r="AT462" s="222"/>
      <c r="AU462" s="222"/>
      <c r="AV462" s="222"/>
      <c r="AW462" s="222"/>
      <c r="AX462" s="222"/>
    </row>
    <row r="463" spans="1:50" ht="15.75" customHeight="1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  <c r="AC463" s="222"/>
      <c r="AD463" s="222"/>
      <c r="AE463" s="222"/>
      <c r="AF463" s="222"/>
      <c r="AG463" s="222"/>
      <c r="AH463" s="222"/>
      <c r="AI463" s="222"/>
      <c r="AJ463" s="222"/>
      <c r="AK463" s="222"/>
      <c r="AL463" s="222"/>
      <c r="AM463" s="222"/>
      <c r="AN463" s="222"/>
      <c r="AO463" s="222"/>
      <c r="AP463" s="222"/>
      <c r="AQ463" s="222"/>
      <c r="AR463" s="222"/>
      <c r="AS463" s="222"/>
      <c r="AT463" s="222"/>
      <c r="AU463" s="222"/>
      <c r="AV463" s="222"/>
      <c r="AW463" s="222"/>
      <c r="AX463" s="222"/>
    </row>
    <row r="464" spans="1:50" ht="15.75" customHeight="1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  <c r="AC464" s="222"/>
      <c r="AD464" s="222"/>
      <c r="AE464" s="222"/>
      <c r="AF464" s="222"/>
      <c r="AG464" s="222"/>
      <c r="AH464" s="222"/>
      <c r="AI464" s="222"/>
      <c r="AJ464" s="222"/>
      <c r="AK464" s="222"/>
      <c r="AL464" s="222"/>
      <c r="AM464" s="222"/>
      <c r="AN464" s="222"/>
      <c r="AO464" s="222"/>
      <c r="AP464" s="222"/>
      <c r="AQ464" s="222"/>
      <c r="AR464" s="222"/>
      <c r="AS464" s="222"/>
      <c r="AT464" s="222"/>
      <c r="AU464" s="222"/>
      <c r="AV464" s="222"/>
      <c r="AW464" s="222"/>
      <c r="AX464" s="222"/>
    </row>
    <row r="465" spans="1:50" ht="15.75" customHeight="1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  <c r="AC465" s="222"/>
      <c r="AD465" s="222"/>
      <c r="AE465" s="222"/>
      <c r="AF465" s="222"/>
      <c r="AG465" s="222"/>
      <c r="AH465" s="222"/>
      <c r="AI465" s="222"/>
      <c r="AJ465" s="222"/>
      <c r="AK465" s="222"/>
      <c r="AL465" s="222"/>
      <c r="AM465" s="222"/>
      <c r="AN465" s="222"/>
      <c r="AO465" s="222"/>
      <c r="AP465" s="222"/>
      <c r="AQ465" s="222"/>
      <c r="AR465" s="222"/>
      <c r="AS465" s="222"/>
      <c r="AT465" s="222"/>
      <c r="AU465" s="222"/>
      <c r="AV465" s="222"/>
      <c r="AW465" s="222"/>
      <c r="AX465" s="222"/>
    </row>
    <row r="466" spans="1:50" ht="15.75" customHeight="1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  <c r="AC466" s="222"/>
      <c r="AD466" s="222"/>
      <c r="AE466" s="222"/>
      <c r="AF466" s="222"/>
      <c r="AG466" s="222"/>
      <c r="AH466" s="222"/>
      <c r="AI466" s="222"/>
      <c r="AJ466" s="222"/>
      <c r="AK466" s="222"/>
      <c r="AL466" s="222"/>
      <c r="AM466" s="222"/>
      <c r="AN466" s="222"/>
      <c r="AO466" s="222"/>
      <c r="AP466" s="222"/>
      <c r="AQ466" s="222"/>
      <c r="AR466" s="222"/>
      <c r="AS466" s="222"/>
      <c r="AT466" s="222"/>
      <c r="AU466" s="222"/>
      <c r="AV466" s="222"/>
      <c r="AW466" s="222"/>
      <c r="AX466" s="222"/>
    </row>
    <row r="467" spans="1:50" ht="15.75" customHeight="1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  <c r="AC467" s="222"/>
      <c r="AD467" s="222"/>
      <c r="AE467" s="222"/>
      <c r="AF467" s="222"/>
      <c r="AG467" s="222"/>
      <c r="AH467" s="222"/>
      <c r="AI467" s="222"/>
      <c r="AJ467" s="222"/>
      <c r="AK467" s="222"/>
      <c r="AL467" s="222"/>
      <c r="AM467" s="222"/>
      <c r="AN467" s="222"/>
      <c r="AO467" s="222"/>
      <c r="AP467" s="222"/>
      <c r="AQ467" s="222"/>
      <c r="AR467" s="222"/>
      <c r="AS467" s="222"/>
      <c r="AT467" s="222"/>
      <c r="AU467" s="222"/>
      <c r="AV467" s="222"/>
      <c r="AW467" s="222"/>
      <c r="AX467" s="222"/>
    </row>
    <row r="468" spans="1:50" ht="15.75" customHeight="1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  <c r="AC468" s="222"/>
      <c r="AD468" s="222"/>
      <c r="AE468" s="222"/>
      <c r="AF468" s="222"/>
      <c r="AG468" s="222"/>
      <c r="AH468" s="222"/>
      <c r="AI468" s="222"/>
      <c r="AJ468" s="222"/>
      <c r="AK468" s="222"/>
      <c r="AL468" s="222"/>
      <c r="AM468" s="222"/>
      <c r="AN468" s="222"/>
      <c r="AO468" s="222"/>
      <c r="AP468" s="222"/>
      <c r="AQ468" s="222"/>
      <c r="AR468" s="222"/>
      <c r="AS468" s="222"/>
      <c r="AT468" s="222"/>
      <c r="AU468" s="222"/>
      <c r="AV468" s="222"/>
      <c r="AW468" s="222"/>
      <c r="AX468" s="222"/>
    </row>
    <row r="469" spans="1:50" ht="15.75" customHeight="1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  <c r="AC469" s="222"/>
      <c r="AD469" s="222"/>
      <c r="AE469" s="222"/>
      <c r="AF469" s="222"/>
      <c r="AG469" s="222"/>
      <c r="AH469" s="222"/>
      <c r="AI469" s="222"/>
      <c r="AJ469" s="222"/>
      <c r="AK469" s="222"/>
      <c r="AL469" s="222"/>
      <c r="AM469" s="222"/>
      <c r="AN469" s="222"/>
      <c r="AO469" s="222"/>
      <c r="AP469" s="222"/>
      <c r="AQ469" s="222"/>
      <c r="AR469" s="222"/>
      <c r="AS469" s="222"/>
      <c r="AT469" s="222"/>
      <c r="AU469" s="222"/>
      <c r="AV469" s="222"/>
      <c r="AW469" s="222"/>
      <c r="AX469" s="222"/>
    </row>
    <row r="470" spans="1:50" ht="15.75" customHeight="1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  <c r="AC470" s="222"/>
      <c r="AD470" s="222"/>
      <c r="AE470" s="222"/>
      <c r="AF470" s="222"/>
      <c r="AG470" s="222"/>
      <c r="AH470" s="222"/>
      <c r="AI470" s="222"/>
      <c r="AJ470" s="222"/>
      <c r="AK470" s="222"/>
      <c r="AL470" s="222"/>
      <c r="AM470" s="222"/>
      <c r="AN470" s="222"/>
      <c r="AO470" s="222"/>
      <c r="AP470" s="222"/>
      <c r="AQ470" s="222"/>
      <c r="AR470" s="222"/>
      <c r="AS470" s="222"/>
      <c r="AT470" s="222"/>
      <c r="AU470" s="222"/>
      <c r="AV470" s="222"/>
      <c r="AW470" s="222"/>
      <c r="AX470" s="222"/>
    </row>
    <row r="471" spans="1:50" ht="15.75" customHeight="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  <c r="AC471" s="222"/>
      <c r="AD471" s="222"/>
      <c r="AE471" s="222"/>
      <c r="AF471" s="222"/>
      <c r="AG471" s="222"/>
      <c r="AH471" s="222"/>
      <c r="AI471" s="222"/>
      <c r="AJ471" s="222"/>
      <c r="AK471" s="222"/>
      <c r="AL471" s="222"/>
      <c r="AM471" s="222"/>
      <c r="AN471" s="222"/>
      <c r="AO471" s="222"/>
      <c r="AP471" s="222"/>
      <c r="AQ471" s="222"/>
      <c r="AR471" s="222"/>
      <c r="AS471" s="222"/>
      <c r="AT471" s="222"/>
      <c r="AU471" s="222"/>
      <c r="AV471" s="222"/>
      <c r="AW471" s="222"/>
      <c r="AX471" s="222"/>
    </row>
    <row r="472" spans="1:50" ht="15.75" customHeight="1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  <c r="AC472" s="222"/>
      <c r="AD472" s="222"/>
      <c r="AE472" s="222"/>
      <c r="AF472" s="222"/>
      <c r="AG472" s="222"/>
      <c r="AH472" s="222"/>
      <c r="AI472" s="222"/>
      <c r="AJ472" s="222"/>
      <c r="AK472" s="222"/>
      <c r="AL472" s="222"/>
      <c r="AM472" s="222"/>
      <c r="AN472" s="222"/>
      <c r="AO472" s="222"/>
      <c r="AP472" s="222"/>
      <c r="AQ472" s="222"/>
      <c r="AR472" s="222"/>
      <c r="AS472" s="222"/>
      <c r="AT472" s="222"/>
      <c r="AU472" s="222"/>
      <c r="AV472" s="222"/>
      <c r="AW472" s="222"/>
      <c r="AX472" s="222"/>
    </row>
    <row r="473" spans="1:50" ht="15.75" customHeight="1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  <c r="AC473" s="222"/>
      <c r="AD473" s="222"/>
      <c r="AE473" s="222"/>
      <c r="AF473" s="222"/>
      <c r="AG473" s="222"/>
      <c r="AH473" s="222"/>
      <c r="AI473" s="222"/>
      <c r="AJ473" s="222"/>
      <c r="AK473" s="222"/>
      <c r="AL473" s="222"/>
      <c r="AM473" s="222"/>
      <c r="AN473" s="222"/>
      <c r="AO473" s="222"/>
      <c r="AP473" s="222"/>
      <c r="AQ473" s="222"/>
      <c r="AR473" s="222"/>
      <c r="AS473" s="222"/>
      <c r="AT473" s="222"/>
      <c r="AU473" s="222"/>
      <c r="AV473" s="222"/>
      <c r="AW473" s="222"/>
      <c r="AX473" s="222"/>
    </row>
    <row r="474" spans="1:50" ht="15.75" customHeight="1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  <c r="AC474" s="222"/>
      <c r="AD474" s="222"/>
      <c r="AE474" s="222"/>
      <c r="AF474" s="222"/>
      <c r="AG474" s="222"/>
      <c r="AH474" s="222"/>
      <c r="AI474" s="222"/>
      <c r="AJ474" s="222"/>
      <c r="AK474" s="222"/>
      <c r="AL474" s="222"/>
      <c r="AM474" s="222"/>
      <c r="AN474" s="222"/>
      <c r="AO474" s="222"/>
      <c r="AP474" s="222"/>
      <c r="AQ474" s="222"/>
      <c r="AR474" s="222"/>
      <c r="AS474" s="222"/>
      <c r="AT474" s="222"/>
      <c r="AU474" s="222"/>
      <c r="AV474" s="222"/>
      <c r="AW474" s="222"/>
      <c r="AX474" s="222"/>
    </row>
    <row r="475" spans="1:50" ht="15.75" customHeight="1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  <c r="AC475" s="222"/>
      <c r="AD475" s="222"/>
      <c r="AE475" s="222"/>
      <c r="AF475" s="222"/>
      <c r="AG475" s="222"/>
      <c r="AH475" s="222"/>
      <c r="AI475" s="222"/>
      <c r="AJ475" s="222"/>
      <c r="AK475" s="222"/>
      <c r="AL475" s="222"/>
      <c r="AM475" s="222"/>
      <c r="AN475" s="222"/>
      <c r="AO475" s="222"/>
      <c r="AP475" s="222"/>
      <c r="AQ475" s="222"/>
      <c r="AR475" s="222"/>
      <c r="AS475" s="222"/>
      <c r="AT475" s="222"/>
      <c r="AU475" s="222"/>
      <c r="AV475" s="222"/>
      <c r="AW475" s="222"/>
      <c r="AX475" s="222"/>
    </row>
    <row r="476" spans="1:50" ht="15.75" customHeight="1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  <c r="AC476" s="222"/>
      <c r="AD476" s="222"/>
      <c r="AE476" s="222"/>
      <c r="AF476" s="222"/>
      <c r="AG476" s="222"/>
      <c r="AH476" s="222"/>
      <c r="AI476" s="222"/>
      <c r="AJ476" s="222"/>
      <c r="AK476" s="222"/>
      <c r="AL476" s="222"/>
      <c r="AM476" s="222"/>
      <c r="AN476" s="222"/>
      <c r="AO476" s="222"/>
      <c r="AP476" s="222"/>
      <c r="AQ476" s="222"/>
      <c r="AR476" s="222"/>
      <c r="AS476" s="222"/>
      <c r="AT476" s="222"/>
      <c r="AU476" s="222"/>
      <c r="AV476" s="222"/>
      <c r="AW476" s="222"/>
      <c r="AX476" s="222"/>
    </row>
    <row r="477" spans="1:50" ht="15.75" customHeight="1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  <c r="AC477" s="222"/>
      <c r="AD477" s="222"/>
      <c r="AE477" s="222"/>
      <c r="AF477" s="222"/>
      <c r="AG477" s="222"/>
      <c r="AH477" s="222"/>
      <c r="AI477" s="222"/>
      <c r="AJ477" s="222"/>
      <c r="AK477" s="222"/>
      <c r="AL477" s="222"/>
      <c r="AM477" s="222"/>
      <c r="AN477" s="222"/>
      <c r="AO477" s="222"/>
      <c r="AP477" s="222"/>
      <c r="AQ477" s="222"/>
      <c r="AR477" s="222"/>
      <c r="AS477" s="222"/>
      <c r="AT477" s="222"/>
      <c r="AU477" s="222"/>
      <c r="AV477" s="222"/>
      <c r="AW477" s="222"/>
      <c r="AX477" s="222"/>
    </row>
    <row r="478" spans="1:50" ht="15.75" customHeight="1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  <c r="AC478" s="222"/>
      <c r="AD478" s="222"/>
      <c r="AE478" s="222"/>
      <c r="AF478" s="222"/>
      <c r="AG478" s="222"/>
      <c r="AH478" s="222"/>
      <c r="AI478" s="222"/>
      <c r="AJ478" s="222"/>
      <c r="AK478" s="222"/>
      <c r="AL478" s="222"/>
      <c r="AM478" s="222"/>
      <c r="AN478" s="222"/>
      <c r="AO478" s="222"/>
      <c r="AP478" s="222"/>
      <c r="AQ478" s="222"/>
      <c r="AR478" s="222"/>
      <c r="AS478" s="222"/>
      <c r="AT478" s="222"/>
      <c r="AU478" s="222"/>
      <c r="AV478" s="222"/>
      <c r="AW478" s="222"/>
      <c r="AX478" s="222"/>
    </row>
    <row r="479" spans="1:50" ht="15.75" customHeight="1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  <c r="AC479" s="222"/>
      <c r="AD479" s="222"/>
      <c r="AE479" s="222"/>
      <c r="AF479" s="222"/>
      <c r="AG479" s="222"/>
      <c r="AH479" s="222"/>
      <c r="AI479" s="222"/>
      <c r="AJ479" s="222"/>
      <c r="AK479" s="222"/>
      <c r="AL479" s="222"/>
      <c r="AM479" s="222"/>
      <c r="AN479" s="222"/>
      <c r="AO479" s="222"/>
      <c r="AP479" s="222"/>
      <c r="AQ479" s="222"/>
      <c r="AR479" s="222"/>
      <c r="AS479" s="222"/>
      <c r="AT479" s="222"/>
      <c r="AU479" s="222"/>
      <c r="AV479" s="222"/>
      <c r="AW479" s="222"/>
      <c r="AX479" s="222"/>
    </row>
    <row r="480" spans="1:50" ht="15.75" customHeight="1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  <c r="AC480" s="222"/>
      <c r="AD480" s="222"/>
      <c r="AE480" s="222"/>
      <c r="AF480" s="222"/>
      <c r="AG480" s="222"/>
      <c r="AH480" s="222"/>
      <c r="AI480" s="222"/>
      <c r="AJ480" s="222"/>
      <c r="AK480" s="222"/>
      <c r="AL480" s="222"/>
      <c r="AM480" s="222"/>
      <c r="AN480" s="222"/>
      <c r="AO480" s="222"/>
      <c r="AP480" s="222"/>
      <c r="AQ480" s="222"/>
      <c r="AR480" s="222"/>
      <c r="AS480" s="222"/>
      <c r="AT480" s="222"/>
      <c r="AU480" s="222"/>
      <c r="AV480" s="222"/>
      <c r="AW480" s="222"/>
      <c r="AX480" s="222"/>
    </row>
    <row r="481" spans="1:50" ht="15.75" customHeight="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  <c r="AC481" s="222"/>
      <c r="AD481" s="222"/>
      <c r="AE481" s="222"/>
      <c r="AF481" s="222"/>
      <c r="AG481" s="222"/>
      <c r="AH481" s="222"/>
      <c r="AI481" s="222"/>
      <c r="AJ481" s="222"/>
      <c r="AK481" s="222"/>
      <c r="AL481" s="222"/>
      <c r="AM481" s="222"/>
      <c r="AN481" s="222"/>
      <c r="AO481" s="222"/>
      <c r="AP481" s="222"/>
      <c r="AQ481" s="222"/>
      <c r="AR481" s="222"/>
      <c r="AS481" s="222"/>
      <c r="AT481" s="222"/>
      <c r="AU481" s="222"/>
      <c r="AV481" s="222"/>
      <c r="AW481" s="222"/>
      <c r="AX481" s="222"/>
    </row>
    <row r="482" spans="1:50" ht="15.75" customHeight="1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  <c r="AC482" s="222"/>
      <c r="AD482" s="222"/>
      <c r="AE482" s="222"/>
      <c r="AF482" s="222"/>
      <c r="AG482" s="222"/>
      <c r="AH482" s="222"/>
      <c r="AI482" s="222"/>
      <c r="AJ482" s="222"/>
      <c r="AK482" s="222"/>
      <c r="AL482" s="222"/>
      <c r="AM482" s="222"/>
      <c r="AN482" s="222"/>
      <c r="AO482" s="222"/>
      <c r="AP482" s="222"/>
      <c r="AQ482" s="222"/>
      <c r="AR482" s="222"/>
      <c r="AS482" s="222"/>
      <c r="AT482" s="222"/>
      <c r="AU482" s="222"/>
      <c r="AV482" s="222"/>
      <c r="AW482" s="222"/>
      <c r="AX482" s="222"/>
    </row>
    <row r="483" spans="1:50" ht="15.75" customHeight="1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2"/>
      <c r="AL483" s="222"/>
      <c r="AM483" s="222"/>
      <c r="AN483" s="222"/>
      <c r="AO483" s="222"/>
      <c r="AP483" s="222"/>
      <c r="AQ483" s="222"/>
      <c r="AR483" s="222"/>
      <c r="AS483" s="222"/>
      <c r="AT483" s="222"/>
      <c r="AU483" s="222"/>
      <c r="AV483" s="222"/>
      <c r="AW483" s="222"/>
      <c r="AX483" s="222"/>
    </row>
    <row r="484" spans="1:50" ht="15.75" customHeight="1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  <c r="AE484" s="222"/>
      <c r="AF484" s="222"/>
      <c r="AG484" s="222"/>
      <c r="AH484" s="222"/>
      <c r="AI484" s="222"/>
      <c r="AJ484" s="222"/>
      <c r="AK484" s="222"/>
      <c r="AL484" s="222"/>
      <c r="AM484" s="222"/>
      <c r="AN484" s="222"/>
      <c r="AO484" s="222"/>
      <c r="AP484" s="222"/>
      <c r="AQ484" s="222"/>
      <c r="AR484" s="222"/>
      <c r="AS484" s="222"/>
      <c r="AT484" s="222"/>
      <c r="AU484" s="222"/>
      <c r="AV484" s="222"/>
      <c r="AW484" s="222"/>
      <c r="AX484" s="222"/>
    </row>
    <row r="485" spans="1:50" ht="15.75" customHeight="1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  <c r="AC485" s="222"/>
      <c r="AD485" s="222"/>
      <c r="AE485" s="222"/>
      <c r="AF485" s="222"/>
      <c r="AG485" s="222"/>
      <c r="AH485" s="222"/>
      <c r="AI485" s="222"/>
      <c r="AJ485" s="222"/>
      <c r="AK485" s="222"/>
      <c r="AL485" s="222"/>
      <c r="AM485" s="222"/>
      <c r="AN485" s="222"/>
      <c r="AO485" s="222"/>
      <c r="AP485" s="222"/>
      <c r="AQ485" s="222"/>
      <c r="AR485" s="222"/>
      <c r="AS485" s="222"/>
      <c r="AT485" s="222"/>
      <c r="AU485" s="222"/>
      <c r="AV485" s="222"/>
      <c r="AW485" s="222"/>
      <c r="AX485" s="222"/>
    </row>
    <row r="486" spans="1:50" ht="15.75" customHeight="1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  <c r="AC486" s="222"/>
      <c r="AD486" s="222"/>
      <c r="AE486" s="222"/>
      <c r="AF486" s="222"/>
      <c r="AG486" s="222"/>
      <c r="AH486" s="222"/>
      <c r="AI486" s="222"/>
      <c r="AJ486" s="222"/>
      <c r="AK486" s="222"/>
      <c r="AL486" s="222"/>
      <c r="AM486" s="222"/>
      <c r="AN486" s="222"/>
      <c r="AO486" s="222"/>
      <c r="AP486" s="222"/>
      <c r="AQ486" s="222"/>
      <c r="AR486" s="222"/>
      <c r="AS486" s="222"/>
      <c r="AT486" s="222"/>
      <c r="AU486" s="222"/>
      <c r="AV486" s="222"/>
      <c r="AW486" s="222"/>
      <c r="AX486" s="222"/>
    </row>
    <row r="487" spans="1:50" ht="15.75" customHeight="1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  <c r="AM487" s="222"/>
      <c r="AN487" s="222"/>
      <c r="AO487" s="222"/>
      <c r="AP487" s="222"/>
      <c r="AQ487" s="222"/>
      <c r="AR487" s="222"/>
      <c r="AS487" s="222"/>
      <c r="AT487" s="222"/>
      <c r="AU487" s="222"/>
      <c r="AV487" s="222"/>
      <c r="AW487" s="222"/>
      <c r="AX487" s="222"/>
    </row>
    <row r="488" spans="1:50" ht="15.75" customHeight="1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  <c r="AC488" s="222"/>
      <c r="AD488" s="222"/>
      <c r="AE488" s="222"/>
      <c r="AF488" s="222"/>
      <c r="AG488" s="222"/>
      <c r="AH488" s="222"/>
      <c r="AI488" s="222"/>
      <c r="AJ488" s="222"/>
      <c r="AK488" s="222"/>
      <c r="AL488" s="222"/>
      <c r="AM488" s="222"/>
      <c r="AN488" s="222"/>
      <c r="AO488" s="222"/>
      <c r="AP488" s="222"/>
      <c r="AQ488" s="222"/>
      <c r="AR488" s="222"/>
      <c r="AS488" s="222"/>
      <c r="AT488" s="222"/>
      <c r="AU488" s="222"/>
      <c r="AV488" s="222"/>
      <c r="AW488" s="222"/>
      <c r="AX488" s="222"/>
    </row>
    <row r="489" spans="1:50" ht="15.75" customHeight="1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  <c r="AC489" s="222"/>
      <c r="AD489" s="222"/>
      <c r="AE489" s="222"/>
      <c r="AF489" s="222"/>
      <c r="AG489" s="222"/>
      <c r="AH489" s="222"/>
      <c r="AI489" s="222"/>
      <c r="AJ489" s="222"/>
      <c r="AK489" s="222"/>
      <c r="AL489" s="222"/>
      <c r="AM489" s="222"/>
      <c r="AN489" s="222"/>
      <c r="AO489" s="222"/>
      <c r="AP489" s="222"/>
      <c r="AQ489" s="222"/>
      <c r="AR489" s="222"/>
      <c r="AS489" s="222"/>
      <c r="AT489" s="222"/>
      <c r="AU489" s="222"/>
      <c r="AV489" s="222"/>
      <c r="AW489" s="222"/>
      <c r="AX489" s="222"/>
    </row>
    <row r="490" spans="1:50" ht="15.75" customHeight="1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  <c r="AC490" s="222"/>
      <c r="AD490" s="222"/>
      <c r="AE490" s="222"/>
      <c r="AF490" s="222"/>
      <c r="AG490" s="222"/>
      <c r="AH490" s="222"/>
      <c r="AI490" s="222"/>
      <c r="AJ490" s="222"/>
      <c r="AK490" s="222"/>
      <c r="AL490" s="222"/>
      <c r="AM490" s="222"/>
      <c r="AN490" s="222"/>
      <c r="AO490" s="222"/>
      <c r="AP490" s="222"/>
      <c r="AQ490" s="222"/>
      <c r="AR490" s="222"/>
      <c r="AS490" s="222"/>
      <c r="AT490" s="222"/>
      <c r="AU490" s="222"/>
      <c r="AV490" s="222"/>
      <c r="AW490" s="222"/>
      <c r="AX490" s="222"/>
    </row>
    <row r="491" spans="1:50" ht="15.75" customHeight="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2"/>
      <c r="AL491" s="222"/>
      <c r="AM491" s="222"/>
      <c r="AN491" s="222"/>
      <c r="AO491" s="222"/>
      <c r="AP491" s="222"/>
      <c r="AQ491" s="222"/>
      <c r="AR491" s="222"/>
      <c r="AS491" s="222"/>
      <c r="AT491" s="222"/>
      <c r="AU491" s="222"/>
      <c r="AV491" s="222"/>
      <c r="AW491" s="222"/>
      <c r="AX491" s="222"/>
    </row>
    <row r="492" spans="1:50" ht="15.75" customHeight="1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  <c r="AC492" s="222"/>
      <c r="AD492" s="222"/>
      <c r="AE492" s="222"/>
      <c r="AF492" s="222"/>
      <c r="AG492" s="222"/>
      <c r="AH492" s="222"/>
      <c r="AI492" s="222"/>
      <c r="AJ492" s="222"/>
      <c r="AK492" s="222"/>
      <c r="AL492" s="222"/>
      <c r="AM492" s="222"/>
      <c r="AN492" s="222"/>
      <c r="AO492" s="222"/>
      <c r="AP492" s="222"/>
      <c r="AQ492" s="222"/>
      <c r="AR492" s="222"/>
      <c r="AS492" s="222"/>
      <c r="AT492" s="222"/>
      <c r="AU492" s="222"/>
      <c r="AV492" s="222"/>
      <c r="AW492" s="222"/>
      <c r="AX492" s="222"/>
    </row>
    <row r="493" spans="1:50" ht="15.75" customHeight="1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  <c r="AC493" s="222"/>
      <c r="AD493" s="222"/>
      <c r="AE493" s="222"/>
      <c r="AF493" s="222"/>
      <c r="AG493" s="222"/>
      <c r="AH493" s="222"/>
      <c r="AI493" s="222"/>
      <c r="AJ493" s="222"/>
      <c r="AK493" s="222"/>
      <c r="AL493" s="222"/>
      <c r="AM493" s="222"/>
      <c r="AN493" s="222"/>
      <c r="AO493" s="222"/>
      <c r="AP493" s="222"/>
      <c r="AQ493" s="222"/>
      <c r="AR493" s="222"/>
      <c r="AS493" s="222"/>
      <c r="AT493" s="222"/>
      <c r="AU493" s="222"/>
      <c r="AV493" s="222"/>
      <c r="AW493" s="222"/>
      <c r="AX493" s="222"/>
    </row>
    <row r="494" spans="1:50" ht="15.75" customHeight="1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  <c r="AC494" s="222"/>
      <c r="AD494" s="222"/>
      <c r="AE494" s="222"/>
      <c r="AF494" s="222"/>
      <c r="AG494" s="222"/>
      <c r="AH494" s="222"/>
      <c r="AI494" s="222"/>
      <c r="AJ494" s="222"/>
      <c r="AK494" s="222"/>
      <c r="AL494" s="222"/>
      <c r="AM494" s="222"/>
      <c r="AN494" s="222"/>
      <c r="AO494" s="222"/>
      <c r="AP494" s="222"/>
      <c r="AQ494" s="222"/>
      <c r="AR494" s="222"/>
      <c r="AS494" s="222"/>
      <c r="AT494" s="222"/>
      <c r="AU494" s="222"/>
      <c r="AV494" s="222"/>
      <c r="AW494" s="222"/>
      <c r="AX494" s="222"/>
    </row>
    <row r="495" spans="1:50" ht="15.75" customHeight="1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  <c r="AC495" s="222"/>
      <c r="AD495" s="222"/>
      <c r="AE495" s="222"/>
      <c r="AF495" s="222"/>
      <c r="AG495" s="222"/>
      <c r="AH495" s="222"/>
      <c r="AI495" s="222"/>
      <c r="AJ495" s="222"/>
      <c r="AK495" s="222"/>
      <c r="AL495" s="222"/>
      <c r="AM495" s="222"/>
      <c r="AN495" s="222"/>
      <c r="AO495" s="222"/>
      <c r="AP495" s="222"/>
      <c r="AQ495" s="222"/>
      <c r="AR495" s="222"/>
      <c r="AS495" s="222"/>
      <c r="AT495" s="222"/>
      <c r="AU495" s="222"/>
      <c r="AV495" s="222"/>
      <c r="AW495" s="222"/>
      <c r="AX495" s="222"/>
    </row>
    <row r="496" spans="1:50" ht="15.75" customHeight="1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  <c r="AC496" s="222"/>
      <c r="AD496" s="222"/>
      <c r="AE496" s="222"/>
      <c r="AF496" s="222"/>
      <c r="AG496" s="222"/>
      <c r="AH496" s="222"/>
      <c r="AI496" s="222"/>
      <c r="AJ496" s="222"/>
      <c r="AK496" s="222"/>
      <c r="AL496" s="222"/>
      <c r="AM496" s="222"/>
      <c r="AN496" s="222"/>
      <c r="AO496" s="222"/>
      <c r="AP496" s="222"/>
      <c r="AQ496" s="222"/>
      <c r="AR496" s="222"/>
      <c r="AS496" s="222"/>
      <c r="AT496" s="222"/>
      <c r="AU496" s="222"/>
      <c r="AV496" s="222"/>
      <c r="AW496" s="222"/>
      <c r="AX496" s="222"/>
    </row>
    <row r="497" spans="1:50" ht="15.75" customHeight="1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  <c r="AC497" s="222"/>
      <c r="AD497" s="222"/>
      <c r="AE497" s="222"/>
      <c r="AF497" s="222"/>
      <c r="AG497" s="222"/>
      <c r="AH497" s="222"/>
      <c r="AI497" s="222"/>
      <c r="AJ497" s="222"/>
      <c r="AK497" s="222"/>
      <c r="AL497" s="222"/>
      <c r="AM497" s="222"/>
      <c r="AN497" s="222"/>
      <c r="AO497" s="222"/>
      <c r="AP497" s="222"/>
      <c r="AQ497" s="222"/>
      <c r="AR497" s="222"/>
      <c r="AS497" s="222"/>
      <c r="AT497" s="222"/>
      <c r="AU497" s="222"/>
      <c r="AV497" s="222"/>
      <c r="AW497" s="222"/>
      <c r="AX497" s="222"/>
    </row>
    <row r="498" spans="1:50" ht="15.75" customHeight="1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  <c r="AC498" s="222"/>
      <c r="AD498" s="222"/>
      <c r="AE498" s="222"/>
      <c r="AF498" s="222"/>
      <c r="AG498" s="222"/>
      <c r="AH498" s="222"/>
      <c r="AI498" s="222"/>
      <c r="AJ498" s="222"/>
      <c r="AK498" s="222"/>
      <c r="AL498" s="222"/>
      <c r="AM498" s="222"/>
      <c r="AN498" s="222"/>
      <c r="AO498" s="222"/>
      <c r="AP498" s="222"/>
      <c r="AQ498" s="222"/>
      <c r="AR498" s="222"/>
      <c r="AS498" s="222"/>
      <c r="AT498" s="222"/>
      <c r="AU498" s="222"/>
      <c r="AV498" s="222"/>
      <c r="AW498" s="222"/>
      <c r="AX498" s="222"/>
    </row>
    <row r="499" spans="1:50" ht="15.75" customHeight="1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  <c r="AC499" s="222"/>
      <c r="AD499" s="222"/>
      <c r="AE499" s="222"/>
      <c r="AF499" s="222"/>
      <c r="AG499" s="222"/>
      <c r="AH499" s="222"/>
      <c r="AI499" s="222"/>
      <c r="AJ499" s="222"/>
      <c r="AK499" s="222"/>
      <c r="AL499" s="222"/>
      <c r="AM499" s="222"/>
      <c r="AN499" s="222"/>
      <c r="AO499" s="222"/>
      <c r="AP499" s="222"/>
      <c r="AQ499" s="222"/>
      <c r="AR499" s="222"/>
      <c r="AS499" s="222"/>
      <c r="AT499" s="222"/>
      <c r="AU499" s="222"/>
      <c r="AV499" s="222"/>
      <c r="AW499" s="222"/>
      <c r="AX499" s="222"/>
    </row>
    <row r="500" spans="1:50" ht="15.75" customHeight="1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  <c r="AC500" s="222"/>
      <c r="AD500" s="222"/>
      <c r="AE500" s="222"/>
      <c r="AF500" s="222"/>
      <c r="AG500" s="222"/>
      <c r="AH500" s="222"/>
      <c r="AI500" s="222"/>
      <c r="AJ500" s="222"/>
      <c r="AK500" s="222"/>
      <c r="AL500" s="222"/>
      <c r="AM500" s="222"/>
      <c r="AN500" s="222"/>
      <c r="AO500" s="222"/>
      <c r="AP500" s="222"/>
      <c r="AQ500" s="222"/>
      <c r="AR500" s="222"/>
      <c r="AS500" s="222"/>
      <c r="AT500" s="222"/>
      <c r="AU500" s="222"/>
      <c r="AV500" s="222"/>
      <c r="AW500" s="222"/>
      <c r="AX500" s="222"/>
    </row>
    <row r="501" spans="1:50" ht="15.75" customHeight="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  <c r="AC501" s="222"/>
      <c r="AD501" s="222"/>
      <c r="AE501" s="222"/>
      <c r="AF501" s="222"/>
      <c r="AG501" s="222"/>
      <c r="AH501" s="222"/>
      <c r="AI501" s="222"/>
      <c r="AJ501" s="222"/>
      <c r="AK501" s="222"/>
      <c r="AL501" s="222"/>
      <c r="AM501" s="222"/>
      <c r="AN501" s="222"/>
      <c r="AO501" s="222"/>
      <c r="AP501" s="222"/>
      <c r="AQ501" s="222"/>
      <c r="AR501" s="222"/>
      <c r="AS501" s="222"/>
      <c r="AT501" s="222"/>
      <c r="AU501" s="222"/>
      <c r="AV501" s="222"/>
      <c r="AW501" s="222"/>
      <c r="AX501" s="222"/>
    </row>
    <row r="502" spans="1:50" ht="15.75" customHeight="1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  <c r="AC502" s="222"/>
      <c r="AD502" s="222"/>
      <c r="AE502" s="222"/>
      <c r="AF502" s="222"/>
      <c r="AG502" s="222"/>
      <c r="AH502" s="222"/>
      <c r="AI502" s="222"/>
      <c r="AJ502" s="222"/>
      <c r="AK502" s="222"/>
      <c r="AL502" s="222"/>
      <c r="AM502" s="222"/>
      <c r="AN502" s="222"/>
      <c r="AO502" s="222"/>
      <c r="AP502" s="222"/>
      <c r="AQ502" s="222"/>
      <c r="AR502" s="222"/>
      <c r="AS502" s="222"/>
      <c r="AT502" s="222"/>
      <c r="AU502" s="222"/>
      <c r="AV502" s="222"/>
      <c r="AW502" s="222"/>
      <c r="AX502" s="222"/>
    </row>
    <row r="503" spans="1:50" ht="15.75" customHeight="1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  <c r="AC503" s="222"/>
      <c r="AD503" s="222"/>
      <c r="AE503" s="222"/>
      <c r="AF503" s="222"/>
      <c r="AG503" s="222"/>
      <c r="AH503" s="222"/>
      <c r="AI503" s="222"/>
      <c r="AJ503" s="222"/>
      <c r="AK503" s="222"/>
      <c r="AL503" s="222"/>
      <c r="AM503" s="222"/>
      <c r="AN503" s="222"/>
      <c r="AO503" s="222"/>
      <c r="AP503" s="222"/>
      <c r="AQ503" s="222"/>
      <c r="AR503" s="222"/>
      <c r="AS503" s="222"/>
      <c r="AT503" s="222"/>
      <c r="AU503" s="222"/>
      <c r="AV503" s="222"/>
      <c r="AW503" s="222"/>
      <c r="AX503" s="222"/>
    </row>
    <row r="504" spans="1:50" ht="15.75" customHeight="1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  <c r="AC504" s="222"/>
      <c r="AD504" s="222"/>
      <c r="AE504" s="222"/>
      <c r="AF504" s="222"/>
      <c r="AG504" s="222"/>
      <c r="AH504" s="222"/>
      <c r="AI504" s="222"/>
      <c r="AJ504" s="222"/>
      <c r="AK504" s="222"/>
      <c r="AL504" s="222"/>
      <c r="AM504" s="222"/>
      <c r="AN504" s="222"/>
      <c r="AO504" s="222"/>
      <c r="AP504" s="222"/>
      <c r="AQ504" s="222"/>
      <c r="AR504" s="222"/>
      <c r="AS504" s="222"/>
      <c r="AT504" s="222"/>
      <c r="AU504" s="222"/>
      <c r="AV504" s="222"/>
      <c r="AW504" s="222"/>
      <c r="AX504" s="222"/>
    </row>
    <row r="505" spans="1:50" ht="15.75" customHeight="1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  <c r="AC505" s="222"/>
      <c r="AD505" s="222"/>
      <c r="AE505" s="222"/>
      <c r="AF505" s="222"/>
      <c r="AG505" s="222"/>
      <c r="AH505" s="222"/>
      <c r="AI505" s="222"/>
      <c r="AJ505" s="222"/>
      <c r="AK505" s="222"/>
      <c r="AL505" s="222"/>
      <c r="AM505" s="222"/>
      <c r="AN505" s="222"/>
      <c r="AO505" s="222"/>
      <c r="AP505" s="222"/>
      <c r="AQ505" s="222"/>
      <c r="AR505" s="222"/>
      <c r="AS505" s="222"/>
      <c r="AT505" s="222"/>
      <c r="AU505" s="222"/>
      <c r="AV505" s="222"/>
      <c r="AW505" s="222"/>
      <c r="AX505" s="222"/>
    </row>
    <row r="506" spans="1:50" ht="15.75" customHeight="1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2"/>
      <c r="AE506" s="222"/>
      <c r="AF506" s="222"/>
      <c r="AG506" s="222"/>
      <c r="AH506" s="222"/>
      <c r="AI506" s="222"/>
      <c r="AJ506" s="222"/>
      <c r="AK506" s="222"/>
      <c r="AL506" s="222"/>
      <c r="AM506" s="222"/>
      <c r="AN506" s="222"/>
      <c r="AO506" s="222"/>
      <c r="AP506" s="222"/>
      <c r="AQ506" s="222"/>
      <c r="AR506" s="222"/>
      <c r="AS506" s="222"/>
      <c r="AT506" s="222"/>
      <c r="AU506" s="222"/>
      <c r="AV506" s="222"/>
      <c r="AW506" s="222"/>
      <c r="AX506" s="222"/>
    </row>
    <row r="507" spans="1:50" ht="15.75" customHeight="1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  <c r="AC507" s="222"/>
      <c r="AD507" s="222"/>
      <c r="AE507" s="222"/>
      <c r="AF507" s="222"/>
      <c r="AG507" s="222"/>
      <c r="AH507" s="222"/>
      <c r="AI507" s="222"/>
      <c r="AJ507" s="222"/>
      <c r="AK507" s="222"/>
      <c r="AL507" s="222"/>
      <c r="AM507" s="222"/>
      <c r="AN507" s="222"/>
      <c r="AO507" s="222"/>
      <c r="AP507" s="222"/>
      <c r="AQ507" s="222"/>
      <c r="AR507" s="222"/>
      <c r="AS507" s="222"/>
      <c r="AT507" s="222"/>
      <c r="AU507" s="222"/>
      <c r="AV507" s="222"/>
      <c r="AW507" s="222"/>
      <c r="AX507" s="222"/>
    </row>
    <row r="508" spans="1:50" ht="15.75" customHeight="1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  <c r="AC508" s="222"/>
      <c r="AD508" s="222"/>
      <c r="AE508" s="222"/>
      <c r="AF508" s="222"/>
      <c r="AG508" s="222"/>
      <c r="AH508" s="222"/>
      <c r="AI508" s="222"/>
      <c r="AJ508" s="222"/>
      <c r="AK508" s="222"/>
      <c r="AL508" s="222"/>
      <c r="AM508" s="222"/>
      <c r="AN508" s="222"/>
      <c r="AO508" s="222"/>
      <c r="AP508" s="222"/>
      <c r="AQ508" s="222"/>
      <c r="AR508" s="222"/>
      <c r="AS508" s="222"/>
      <c r="AT508" s="222"/>
      <c r="AU508" s="222"/>
      <c r="AV508" s="222"/>
      <c r="AW508" s="222"/>
      <c r="AX508" s="222"/>
    </row>
    <row r="509" spans="1:50" ht="15.75" customHeight="1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  <c r="AC509" s="222"/>
      <c r="AD509" s="222"/>
      <c r="AE509" s="222"/>
      <c r="AF509" s="222"/>
      <c r="AG509" s="222"/>
      <c r="AH509" s="222"/>
      <c r="AI509" s="222"/>
      <c r="AJ509" s="222"/>
      <c r="AK509" s="222"/>
      <c r="AL509" s="222"/>
      <c r="AM509" s="222"/>
      <c r="AN509" s="222"/>
      <c r="AO509" s="222"/>
      <c r="AP509" s="222"/>
      <c r="AQ509" s="222"/>
      <c r="AR509" s="222"/>
      <c r="AS509" s="222"/>
      <c r="AT509" s="222"/>
      <c r="AU509" s="222"/>
      <c r="AV509" s="222"/>
      <c r="AW509" s="222"/>
      <c r="AX509" s="222"/>
    </row>
    <row r="510" spans="1:50" ht="15.75" customHeight="1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  <c r="AC510" s="222"/>
      <c r="AD510" s="222"/>
      <c r="AE510" s="222"/>
      <c r="AF510" s="222"/>
      <c r="AG510" s="222"/>
      <c r="AH510" s="222"/>
      <c r="AI510" s="222"/>
      <c r="AJ510" s="222"/>
      <c r="AK510" s="222"/>
      <c r="AL510" s="222"/>
      <c r="AM510" s="222"/>
      <c r="AN510" s="222"/>
      <c r="AO510" s="222"/>
      <c r="AP510" s="222"/>
      <c r="AQ510" s="222"/>
      <c r="AR510" s="222"/>
      <c r="AS510" s="222"/>
      <c r="AT510" s="222"/>
      <c r="AU510" s="222"/>
      <c r="AV510" s="222"/>
      <c r="AW510" s="222"/>
      <c r="AX510" s="222"/>
    </row>
    <row r="511" spans="1:50" ht="15.75" customHeight="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  <c r="AC511" s="222"/>
      <c r="AD511" s="222"/>
      <c r="AE511" s="222"/>
      <c r="AF511" s="222"/>
      <c r="AG511" s="222"/>
      <c r="AH511" s="222"/>
      <c r="AI511" s="222"/>
      <c r="AJ511" s="222"/>
      <c r="AK511" s="222"/>
      <c r="AL511" s="222"/>
      <c r="AM511" s="222"/>
      <c r="AN511" s="222"/>
      <c r="AO511" s="222"/>
      <c r="AP511" s="222"/>
      <c r="AQ511" s="222"/>
      <c r="AR511" s="222"/>
      <c r="AS511" s="222"/>
      <c r="AT511" s="222"/>
      <c r="AU511" s="222"/>
      <c r="AV511" s="222"/>
      <c r="AW511" s="222"/>
      <c r="AX511" s="222"/>
    </row>
    <row r="512" spans="1:50" ht="15.75" customHeight="1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  <c r="AC512" s="222"/>
      <c r="AD512" s="222"/>
      <c r="AE512" s="222"/>
      <c r="AF512" s="222"/>
      <c r="AG512" s="222"/>
      <c r="AH512" s="222"/>
      <c r="AI512" s="222"/>
      <c r="AJ512" s="222"/>
      <c r="AK512" s="222"/>
      <c r="AL512" s="222"/>
      <c r="AM512" s="222"/>
      <c r="AN512" s="222"/>
      <c r="AO512" s="222"/>
      <c r="AP512" s="222"/>
      <c r="AQ512" s="222"/>
      <c r="AR512" s="222"/>
      <c r="AS512" s="222"/>
      <c r="AT512" s="222"/>
      <c r="AU512" s="222"/>
      <c r="AV512" s="222"/>
      <c r="AW512" s="222"/>
      <c r="AX512" s="222"/>
    </row>
    <row r="513" spans="1:50" ht="15.75" customHeight="1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  <c r="AC513" s="222"/>
      <c r="AD513" s="222"/>
      <c r="AE513" s="222"/>
      <c r="AF513" s="222"/>
      <c r="AG513" s="222"/>
      <c r="AH513" s="222"/>
      <c r="AI513" s="222"/>
      <c r="AJ513" s="222"/>
      <c r="AK513" s="222"/>
      <c r="AL513" s="222"/>
      <c r="AM513" s="222"/>
      <c r="AN513" s="222"/>
      <c r="AO513" s="222"/>
      <c r="AP513" s="222"/>
      <c r="AQ513" s="222"/>
      <c r="AR513" s="222"/>
      <c r="AS513" s="222"/>
      <c r="AT513" s="222"/>
      <c r="AU513" s="222"/>
      <c r="AV513" s="222"/>
      <c r="AW513" s="222"/>
      <c r="AX513" s="222"/>
    </row>
    <row r="514" spans="1:50" ht="15.75" customHeight="1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  <c r="AC514" s="222"/>
      <c r="AD514" s="222"/>
      <c r="AE514" s="222"/>
      <c r="AF514" s="222"/>
      <c r="AG514" s="222"/>
      <c r="AH514" s="222"/>
      <c r="AI514" s="222"/>
      <c r="AJ514" s="222"/>
      <c r="AK514" s="222"/>
      <c r="AL514" s="222"/>
      <c r="AM514" s="222"/>
      <c r="AN514" s="222"/>
      <c r="AO514" s="222"/>
      <c r="AP514" s="222"/>
      <c r="AQ514" s="222"/>
      <c r="AR514" s="222"/>
      <c r="AS514" s="222"/>
      <c r="AT514" s="222"/>
      <c r="AU514" s="222"/>
      <c r="AV514" s="222"/>
      <c r="AW514" s="222"/>
      <c r="AX514" s="222"/>
    </row>
    <row r="515" spans="1:50" ht="15.75" customHeight="1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  <c r="AC515" s="222"/>
      <c r="AD515" s="222"/>
      <c r="AE515" s="222"/>
      <c r="AF515" s="222"/>
      <c r="AG515" s="222"/>
      <c r="AH515" s="222"/>
      <c r="AI515" s="222"/>
      <c r="AJ515" s="222"/>
      <c r="AK515" s="222"/>
      <c r="AL515" s="222"/>
      <c r="AM515" s="222"/>
      <c r="AN515" s="222"/>
      <c r="AO515" s="222"/>
      <c r="AP515" s="222"/>
      <c r="AQ515" s="222"/>
      <c r="AR515" s="222"/>
      <c r="AS515" s="222"/>
      <c r="AT515" s="222"/>
      <c r="AU515" s="222"/>
      <c r="AV515" s="222"/>
      <c r="AW515" s="222"/>
      <c r="AX515" s="222"/>
    </row>
    <row r="516" spans="1:50" ht="15.75" customHeight="1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  <c r="AC516" s="222"/>
      <c r="AD516" s="222"/>
      <c r="AE516" s="222"/>
      <c r="AF516" s="222"/>
      <c r="AG516" s="222"/>
      <c r="AH516" s="222"/>
      <c r="AI516" s="222"/>
      <c r="AJ516" s="222"/>
      <c r="AK516" s="222"/>
      <c r="AL516" s="222"/>
      <c r="AM516" s="222"/>
      <c r="AN516" s="222"/>
      <c r="AO516" s="222"/>
      <c r="AP516" s="222"/>
      <c r="AQ516" s="222"/>
      <c r="AR516" s="222"/>
      <c r="AS516" s="222"/>
      <c r="AT516" s="222"/>
      <c r="AU516" s="222"/>
      <c r="AV516" s="222"/>
      <c r="AW516" s="222"/>
      <c r="AX516" s="222"/>
    </row>
    <row r="517" spans="1:50" ht="15.75" customHeight="1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  <c r="AC517" s="222"/>
      <c r="AD517" s="222"/>
      <c r="AE517" s="222"/>
      <c r="AF517" s="222"/>
      <c r="AG517" s="222"/>
      <c r="AH517" s="222"/>
      <c r="AI517" s="222"/>
      <c r="AJ517" s="222"/>
      <c r="AK517" s="222"/>
      <c r="AL517" s="222"/>
      <c r="AM517" s="222"/>
      <c r="AN517" s="222"/>
      <c r="AO517" s="222"/>
      <c r="AP517" s="222"/>
      <c r="AQ517" s="222"/>
      <c r="AR517" s="222"/>
      <c r="AS517" s="222"/>
      <c r="AT517" s="222"/>
      <c r="AU517" s="222"/>
      <c r="AV517" s="222"/>
      <c r="AW517" s="222"/>
      <c r="AX517" s="222"/>
    </row>
    <row r="518" spans="1:50" ht="15.75" customHeight="1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  <c r="AM518" s="222"/>
      <c r="AN518" s="222"/>
      <c r="AO518" s="222"/>
      <c r="AP518" s="222"/>
      <c r="AQ518" s="222"/>
      <c r="AR518" s="222"/>
      <c r="AS518" s="222"/>
      <c r="AT518" s="222"/>
      <c r="AU518" s="222"/>
      <c r="AV518" s="222"/>
      <c r="AW518" s="222"/>
      <c r="AX518" s="222"/>
    </row>
    <row r="519" spans="1:50" ht="15.75" customHeight="1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  <c r="AC519" s="222"/>
      <c r="AD519" s="222"/>
      <c r="AE519" s="222"/>
      <c r="AF519" s="222"/>
      <c r="AG519" s="222"/>
      <c r="AH519" s="222"/>
      <c r="AI519" s="222"/>
      <c r="AJ519" s="222"/>
      <c r="AK519" s="222"/>
      <c r="AL519" s="222"/>
      <c r="AM519" s="222"/>
      <c r="AN519" s="222"/>
      <c r="AO519" s="222"/>
      <c r="AP519" s="222"/>
      <c r="AQ519" s="222"/>
      <c r="AR519" s="222"/>
      <c r="AS519" s="222"/>
      <c r="AT519" s="222"/>
      <c r="AU519" s="222"/>
      <c r="AV519" s="222"/>
      <c r="AW519" s="222"/>
      <c r="AX519" s="222"/>
    </row>
    <row r="520" spans="1:50" ht="15.75" customHeight="1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  <c r="AC520" s="222"/>
      <c r="AD520" s="222"/>
      <c r="AE520" s="222"/>
      <c r="AF520" s="222"/>
      <c r="AG520" s="222"/>
      <c r="AH520" s="222"/>
      <c r="AI520" s="222"/>
      <c r="AJ520" s="222"/>
      <c r="AK520" s="222"/>
      <c r="AL520" s="222"/>
      <c r="AM520" s="222"/>
      <c r="AN520" s="222"/>
      <c r="AO520" s="222"/>
      <c r="AP520" s="222"/>
      <c r="AQ520" s="222"/>
      <c r="AR520" s="222"/>
      <c r="AS520" s="222"/>
      <c r="AT520" s="222"/>
      <c r="AU520" s="222"/>
      <c r="AV520" s="222"/>
      <c r="AW520" s="222"/>
      <c r="AX520" s="222"/>
    </row>
    <row r="521" spans="1:50" ht="15.75" customHeight="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  <c r="AC521" s="222"/>
      <c r="AD521" s="222"/>
      <c r="AE521" s="222"/>
      <c r="AF521" s="222"/>
      <c r="AG521" s="222"/>
      <c r="AH521" s="222"/>
      <c r="AI521" s="222"/>
      <c r="AJ521" s="222"/>
      <c r="AK521" s="222"/>
      <c r="AL521" s="222"/>
      <c r="AM521" s="222"/>
      <c r="AN521" s="222"/>
      <c r="AO521" s="222"/>
      <c r="AP521" s="222"/>
      <c r="AQ521" s="222"/>
      <c r="AR521" s="222"/>
      <c r="AS521" s="222"/>
      <c r="AT521" s="222"/>
      <c r="AU521" s="222"/>
      <c r="AV521" s="222"/>
      <c r="AW521" s="222"/>
      <c r="AX521" s="222"/>
    </row>
    <row r="522" spans="1:50" ht="15.75" customHeight="1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  <c r="AC522" s="222"/>
      <c r="AD522" s="222"/>
      <c r="AE522" s="222"/>
      <c r="AF522" s="222"/>
      <c r="AG522" s="222"/>
      <c r="AH522" s="222"/>
      <c r="AI522" s="222"/>
      <c r="AJ522" s="222"/>
      <c r="AK522" s="222"/>
      <c r="AL522" s="222"/>
      <c r="AM522" s="222"/>
      <c r="AN522" s="222"/>
      <c r="AO522" s="222"/>
      <c r="AP522" s="222"/>
      <c r="AQ522" s="222"/>
      <c r="AR522" s="222"/>
      <c r="AS522" s="222"/>
      <c r="AT522" s="222"/>
      <c r="AU522" s="222"/>
      <c r="AV522" s="222"/>
      <c r="AW522" s="222"/>
      <c r="AX522" s="222"/>
    </row>
    <row r="523" spans="1:50" ht="15.75" customHeight="1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2"/>
      <c r="AL523" s="222"/>
      <c r="AM523" s="222"/>
      <c r="AN523" s="222"/>
      <c r="AO523" s="222"/>
      <c r="AP523" s="222"/>
      <c r="AQ523" s="222"/>
      <c r="AR523" s="222"/>
      <c r="AS523" s="222"/>
      <c r="AT523" s="222"/>
      <c r="AU523" s="222"/>
      <c r="AV523" s="222"/>
      <c r="AW523" s="222"/>
      <c r="AX523" s="222"/>
    </row>
    <row r="524" spans="1:50" ht="15.75" customHeight="1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  <c r="AC524" s="222"/>
      <c r="AD524" s="222"/>
      <c r="AE524" s="222"/>
      <c r="AF524" s="222"/>
      <c r="AG524" s="222"/>
      <c r="AH524" s="222"/>
      <c r="AI524" s="222"/>
      <c r="AJ524" s="222"/>
      <c r="AK524" s="222"/>
      <c r="AL524" s="222"/>
      <c r="AM524" s="222"/>
      <c r="AN524" s="222"/>
      <c r="AO524" s="222"/>
      <c r="AP524" s="222"/>
      <c r="AQ524" s="222"/>
      <c r="AR524" s="222"/>
      <c r="AS524" s="222"/>
      <c r="AT524" s="222"/>
      <c r="AU524" s="222"/>
      <c r="AV524" s="222"/>
      <c r="AW524" s="222"/>
      <c r="AX524" s="222"/>
    </row>
    <row r="525" spans="1:50" ht="15.75" customHeight="1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  <c r="AC525" s="222"/>
      <c r="AD525" s="222"/>
      <c r="AE525" s="222"/>
      <c r="AF525" s="222"/>
      <c r="AG525" s="222"/>
      <c r="AH525" s="222"/>
      <c r="AI525" s="222"/>
      <c r="AJ525" s="222"/>
      <c r="AK525" s="222"/>
      <c r="AL525" s="222"/>
      <c r="AM525" s="222"/>
      <c r="AN525" s="222"/>
      <c r="AO525" s="222"/>
      <c r="AP525" s="222"/>
      <c r="AQ525" s="222"/>
      <c r="AR525" s="222"/>
      <c r="AS525" s="222"/>
      <c r="AT525" s="222"/>
      <c r="AU525" s="222"/>
      <c r="AV525" s="222"/>
      <c r="AW525" s="222"/>
      <c r="AX525" s="222"/>
    </row>
    <row r="526" spans="1:50" ht="15.75" customHeight="1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  <c r="AC526" s="222"/>
      <c r="AD526" s="222"/>
      <c r="AE526" s="222"/>
      <c r="AF526" s="222"/>
      <c r="AG526" s="222"/>
      <c r="AH526" s="222"/>
      <c r="AI526" s="222"/>
      <c r="AJ526" s="222"/>
      <c r="AK526" s="222"/>
      <c r="AL526" s="222"/>
      <c r="AM526" s="222"/>
      <c r="AN526" s="222"/>
      <c r="AO526" s="222"/>
      <c r="AP526" s="222"/>
      <c r="AQ526" s="222"/>
      <c r="AR526" s="222"/>
      <c r="AS526" s="222"/>
      <c r="AT526" s="222"/>
      <c r="AU526" s="222"/>
      <c r="AV526" s="222"/>
      <c r="AW526" s="222"/>
      <c r="AX526" s="222"/>
    </row>
    <row r="527" spans="1:50" ht="15.75" customHeight="1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  <c r="AC527" s="222"/>
      <c r="AD527" s="222"/>
      <c r="AE527" s="222"/>
      <c r="AF527" s="222"/>
      <c r="AG527" s="222"/>
      <c r="AH527" s="222"/>
      <c r="AI527" s="222"/>
      <c r="AJ527" s="222"/>
      <c r="AK527" s="222"/>
      <c r="AL527" s="222"/>
      <c r="AM527" s="222"/>
      <c r="AN527" s="222"/>
      <c r="AO527" s="222"/>
      <c r="AP527" s="222"/>
      <c r="AQ527" s="222"/>
      <c r="AR527" s="222"/>
      <c r="AS527" s="222"/>
      <c r="AT527" s="222"/>
      <c r="AU527" s="222"/>
      <c r="AV527" s="222"/>
      <c r="AW527" s="222"/>
      <c r="AX527" s="222"/>
    </row>
    <row r="528" spans="1:50" ht="15.75" customHeight="1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  <c r="AC528" s="222"/>
      <c r="AD528" s="222"/>
      <c r="AE528" s="222"/>
      <c r="AF528" s="222"/>
      <c r="AG528" s="222"/>
      <c r="AH528" s="222"/>
      <c r="AI528" s="222"/>
      <c r="AJ528" s="222"/>
      <c r="AK528" s="222"/>
      <c r="AL528" s="222"/>
      <c r="AM528" s="222"/>
      <c r="AN528" s="222"/>
      <c r="AO528" s="222"/>
      <c r="AP528" s="222"/>
      <c r="AQ528" s="222"/>
      <c r="AR528" s="222"/>
      <c r="AS528" s="222"/>
      <c r="AT528" s="222"/>
      <c r="AU528" s="222"/>
      <c r="AV528" s="222"/>
      <c r="AW528" s="222"/>
      <c r="AX528" s="222"/>
    </row>
    <row r="529" spans="1:50" ht="15.75" customHeight="1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  <c r="AC529" s="222"/>
      <c r="AD529" s="222"/>
      <c r="AE529" s="222"/>
      <c r="AF529" s="222"/>
      <c r="AG529" s="222"/>
      <c r="AH529" s="222"/>
      <c r="AI529" s="222"/>
      <c r="AJ529" s="222"/>
      <c r="AK529" s="222"/>
      <c r="AL529" s="222"/>
      <c r="AM529" s="222"/>
      <c r="AN529" s="222"/>
      <c r="AO529" s="222"/>
      <c r="AP529" s="222"/>
      <c r="AQ529" s="222"/>
      <c r="AR529" s="222"/>
      <c r="AS529" s="222"/>
      <c r="AT529" s="222"/>
      <c r="AU529" s="222"/>
      <c r="AV529" s="222"/>
      <c r="AW529" s="222"/>
      <c r="AX529" s="222"/>
    </row>
    <row r="530" spans="1:50" ht="15.75" customHeight="1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  <c r="AC530" s="222"/>
      <c r="AD530" s="222"/>
      <c r="AE530" s="222"/>
      <c r="AF530" s="222"/>
      <c r="AG530" s="222"/>
      <c r="AH530" s="222"/>
      <c r="AI530" s="222"/>
      <c r="AJ530" s="222"/>
      <c r="AK530" s="222"/>
      <c r="AL530" s="222"/>
      <c r="AM530" s="222"/>
      <c r="AN530" s="222"/>
      <c r="AO530" s="222"/>
      <c r="AP530" s="222"/>
      <c r="AQ530" s="222"/>
      <c r="AR530" s="222"/>
      <c r="AS530" s="222"/>
      <c r="AT530" s="222"/>
      <c r="AU530" s="222"/>
      <c r="AV530" s="222"/>
      <c r="AW530" s="222"/>
      <c r="AX530" s="222"/>
    </row>
    <row r="531" spans="1:50" ht="15.75" customHeight="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  <c r="AC531" s="222"/>
      <c r="AD531" s="222"/>
      <c r="AE531" s="222"/>
      <c r="AF531" s="222"/>
      <c r="AG531" s="222"/>
      <c r="AH531" s="222"/>
      <c r="AI531" s="222"/>
      <c r="AJ531" s="222"/>
      <c r="AK531" s="222"/>
      <c r="AL531" s="222"/>
      <c r="AM531" s="222"/>
      <c r="AN531" s="222"/>
      <c r="AO531" s="222"/>
      <c r="AP531" s="222"/>
      <c r="AQ531" s="222"/>
      <c r="AR531" s="222"/>
      <c r="AS531" s="222"/>
      <c r="AT531" s="222"/>
      <c r="AU531" s="222"/>
      <c r="AV531" s="222"/>
      <c r="AW531" s="222"/>
      <c r="AX531" s="222"/>
    </row>
    <row r="532" spans="1:50" ht="15.75" customHeight="1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  <c r="AC532" s="222"/>
      <c r="AD532" s="222"/>
      <c r="AE532" s="222"/>
      <c r="AF532" s="222"/>
      <c r="AG532" s="222"/>
      <c r="AH532" s="222"/>
      <c r="AI532" s="222"/>
      <c r="AJ532" s="222"/>
      <c r="AK532" s="222"/>
      <c r="AL532" s="222"/>
      <c r="AM532" s="222"/>
      <c r="AN532" s="222"/>
      <c r="AO532" s="222"/>
      <c r="AP532" s="222"/>
      <c r="AQ532" s="222"/>
      <c r="AR532" s="222"/>
      <c r="AS532" s="222"/>
      <c r="AT532" s="222"/>
      <c r="AU532" s="222"/>
      <c r="AV532" s="222"/>
      <c r="AW532" s="222"/>
      <c r="AX532" s="222"/>
    </row>
    <row r="533" spans="1:50" ht="15.75" customHeight="1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  <c r="AC533" s="222"/>
      <c r="AD533" s="222"/>
      <c r="AE533" s="222"/>
      <c r="AF533" s="222"/>
      <c r="AG533" s="222"/>
      <c r="AH533" s="222"/>
      <c r="AI533" s="222"/>
      <c r="AJ533" s="222"/>
      <c r="AK533" s="222"/>
      <c r="AL533" s="222"/>
      <c r="AM533" s="222"/>
      <c r="AN533" s="222"/>
      <c r="AO533" s="222"/>
      <c r="AP533" s="222"/>
      <c r="AQ533" s="222"/>
      <c r="AR533" s="222"/>
      <c r="AS533" s="222"/>
      <c r="AT533" s="222"/>
      <c r="AU533" s="222"/>
      <c r="AV533" s="222"/>
      <c r="AW533" s="222"/>
      <c r="AX533" s="222"/>
    </row>
    <row r="534" spans="1:50" ht="15.75" customHeight="1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  <c r="AC534" s="222"/>
      <c r="AD534" s="222"/>
      <c r="AE534" s="222"/>
      <c r="AF534" s="222"/>
      <c r="AG534" s="222"/>
      <c r="AH534" s="222"/>
      <c r="AI534" s="222"/>
      <c r="AJ534" s="222"/>
      <c r="AK534" s="222"/>
      <c r="AL534" s="222"/>
      <c r="AM534" s="222"/>
      <c r="AN534" s="222"/>
      <c r="AO534" s="222"/>
      <c r="AP534" s="222"/>
      <c r="AQ534" s="222"/>
      <c r="AR534" s="222"/>
      <c r="AS534" s="222"/>
      <c r="AT534" s="222"/>
      <c r="AU534" s="222"/>
      <c r="AV534" s="222"/>
      <c r="AW534" s="222"/>
      <c r="AX534" s="222"/>
    </row>
    <row r="535" spans="1:50" ht="15.75" customHeight="1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  <c r="AC535" s="222"/>
      <c r="AD535" s="222"/>
      <c r="AE535" s="222"/>
      <c r="AF535" s="222"/>
      <c r="AG535" s="222"/>
      <c r="AH535" s="222"/>
      <c r="AI535" s="222"/>
      <c r="AJ535" s="222"/>
      <c r="AK535" s="222"/>
      <c r="AL535" s="222"/>
      <c r="AM535" s="222"/>
      <c r="AN535" s="222"/>
      <c r="AO535" s="222"/>
      <c r="AP535" s="222"/>
      <c r="AQ535" s="222"/>
      <c r="AR535" s="222"/>
      <c r="AS535" s="222"/>
      <c r="AT535" s="222"/>
      <c r="AU535" s="222"/>
      <c r="AV535" s="222"/>
      <c r="AW535" s="222"/>
      <c r="AX535" s="222"/>
    </row>
    <row r="536" spans="1:50" ht="15.75" customHeight="1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  <c r="AC536" s="222"/>
      <c r="AD536" s="222"/>
      <c r="AE536" s="222"/>
      <c r="AF536" s="222"/>
      <c r="AG536" s="222"/>
      <c r="AH536" s="222"/>
      <c r="AI536" s="222"/>
      <c r="AJ536" s="222"/>
      <c r="AK536" s="222"/>
      <c r="AL536" s="222"/>
      <c r="AM536" s="222"/>
      <c r="AN536" s="222"/>
      <c r="AO536" s="222"/>
      <c r="AP536" s="222"/>
      <c r="AQ536" s="222"/>
      <c r="AR536" s="222"/>
      <c r="AS536" s="222"/>
      <c r="AT536" s="222"/>
      <c r="AU536" s="222"/>
      <c r="AV536" s="222"/>
      <c r="AW536" s="222"/>
      <c r="AX536" s="222"/>
    </row>
    <row r="537" spans="1:50" ht="15.75" customHeight="1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2"/>
      <c r="AM537" s="222"/>
      <c r="AN537" s="222"/>
      <c r="AO537" s="222"/>
      <c r="AP537" s="222"/>
      <c r="AQ537" s="222"/>
      <c r="AR537" s="222"/>
      <c r="AS537" s="222"/>
      <c r="AT537" s="222"/>
      <c r="AU537" s="222"/>
      <c r="AV537" s="222"/>
      <c r="AW537" s="222"/>
      <c r="AX537" s="222"/>
    </row>
    <row r="538" spans="1:50" ht="15.75" customHeight="1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  <c r="AC538" s="222"/>
      <c r="AD538" s="222"/>
      <c r="AE538" s="222"/>
      <c r="AF538" s="222"/>
      <c r="AG538" s="222"/>
      <c r="AH538" s="222"/>
      <c r="AI538" s="222"/>
      <c r="AJ538" s="222"/>
      <c r="AK538" s="222"/>
      <c r="AL538" s="222"/>
      <c r="AM538" s="222"/>
      <c r="AN538" s="222"/>
      <c r="AO538" s="222"/>
      <c r="AP538" s="222"/>
      <c r="AQ538" s="222"/>
      <c r="AR538" s="222"/>
      <c r="AS538" s="222"/>
      <c r="AT538" s="222"/>
      <c r="AU538" s="222"/>
      <c r="AV538" s="222"/>
      <c r="AW538" s="222"/>
      <c r="AX538" s="222"/>
    </row>
    <row r="539" spans="1:50" ht="15.75" customHeight="1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2"/>
      <c r="AL539" s="222"/>
      <c r="AM539" s="222"/>
      <c r="AN539" s="222"/>
      <c r="AO539" s="222"/>
      <c r="AP539" s="222"/>
      <c r="AQ539" s="222"/>
      <c r="AR539" s="222"/>
      <c r="AS539" s="222"/>
      <c r="AT539" s="222"/>
      <c r="AU539" s="222"/>
      <c r="AV539" s="222"/>
      <c r="AW539" s="222"/>
      <c r="AX539" s="222"/>
    </row>
    <row r="540" spans="1:50" ht="15.75" customHeight="1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  <c r="AC540" s="222"/>
      <c r="AD540" s="222"/>
      <c r="AE540" s="222"/>
      <c r="AF540" s="222"/>
      <c r="AG540" s="222"/>
      <c r="AH540" s="222"/>
      <c r="AI540" s="222"/>
      <c r="AJ540" s="222"/>
      <c r="AK540" s="222"/>
      <c r="AL540" s="222"/>
      <c r="AM540" s="222"/>
      <c r="AN540" s="222"/>
      <c r="AO540" s="222"/>
      <c r="AP540" s="222"/>
      <c r="AQ540" s="222"/>
      <c r="AR540" s="222"/>
      <c r="AS540" s="222"/>
      <c r="AT540" s="222"/>
      <c r="AU540" s="222"/>
      <c r="AV540" s="222"/>
      <c r="AW540" s="222"/>
      <c r="AX540" s="222"/>
    </row>
    <row r="541" spans="1:50" ht="15.75" customHeight="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  <c r="AC541" s="222"/>
      <c r="AD541" s="222"/>
      <c r="AE541" s="222"/>
      <c r="AF541" s="222"/>
      <c r="AG541" s="222"/>
      <c r="AH541" s="222"/>
      <c r="AI541" s="222"/>
      <c r="AJ541" s="222"/>
      <c r="AK541" s="222"/>
      <c r="AL541" s="222"/>
      <c r="AM541" s="222"/>
      <c r="AN541" s="222"/>
      <c r="AO541" s="222"/>
      <c r="AP541" s="222"/>
      <c r="AQ541" s="222"/>
      <c r="AR541" s="222"/>
      <c r="AS541" s="222"/>
      <c r="AT541" s="222"/>
      <c r="AU541" s="222"/>
      <c r="AV541" s="222"/>
      <c r="AW541" s="222"/>
      <c r="AX541" s="222"/>
    </row>
    <row r="542" spans="1:50" ht="15.75" customHeight="1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  <c r="AC542" s="222"/>
      <c r="AD542" s="222"/>
      <c r="AE542" s="222"/>
      <c r="AF542" s="222"/>
      <c r="AG542" s="222"/>
      <c r="AH542" s="222"/>
      <c r="AI542" s="222"/>
      <c r="AJ542" s="222"/>
      <c r="AK542" s="222"/>
      <c r="AL542" s="222"/>
      <c r="AM542" s="222"/>
      <c r="AN542" s="222"/>
      <c r="AO542" s="222"/>
      <c r="AP542" s="222"/>
      <c r="AQ542" s="222"/>
      <c r="AR542" s="222"/>
      <c r="AS542" s="222"/>
      <c r="AT542" s="222"/>
      <c r="AU542" s="222"/>
      <c r="AV542" s="222"/>
      <c r="AW542" s="222"/>
      <c r="AX542" s="222"/>
    </row>
    <row r="543" spans="1:50" ht="15.75" customHeight="1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  <c r="AC543" s="222"/>
      <c r="AD543" s="222"/>
      <c r="AE543" s="222"/>
      <c r="AF543" s="222"/>
      <c r="AG543" s="222"/>
      <c r="AH543" s="222"/>
      <c r="AI543" s="222"/>
      <c r="AJ543" s="222"/>
      <c r="AK543" s="222"/>
      <c r="AL543" s="222"/>
      <c r="AM543" s="222"/>
      <c r="AN543" s="222"/>
      <c r="AO543" s="222"/>
      <c r="AP543" s="222"/>
      <c r="AQ543" s="222"/>
      <c r="AR543" s="222"/>
      <c r="AS543" s="222"/>
      <c r="AT543" s="222"/>
      <c r="AU543" s="222"/>
      <c r="AV543" s="222"/>
      <c r="AW543" s="222"/>
      <c r="AX543" s="222"/>
    </row>
    <row r="544" spans="1:50" ht="15.75" customHeight="1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  <c r="AC544" s="222"/>
      <c r="AD544" s="222"/>
      <c r="AE544" s="222"/>
      <c r="AF544" s="222"/>
      <c r="AG544" s="222"/>
      <c r="AH544" s="222"/>
      <c r="AI544" s="222"/>
      <c r="AJ544" s="222"/>
      <c r="AK544" s="222"/>
      <c r="AL544" s="222"/>
      <c r="AM544" s="222"/>
      <c r="AN544" s="222"/>
      <c r="AO544" s="222"/>
      <c r="AP544" s="222"/>
      <c r="AQ544" s="222"/>
      <c r="AR544" s="222"/>
      <c r="AS544" s="222"/>
      <c r="AT544" s="222"/>
      <c r="AU544" s="222"/>
      <c r="AV544" s="222"/>
      <c r="AW544" s="222"/>
      <c r="AX544" s="222"/>
    </row>
    <row r="545" spans="1:50" ht="15.75" customHeight="1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  <c r="AC545" s="222"/>
      <c r="AD545" s="222"/>
      <c r="AE545" s="222"/>
      <c r="AF545" s="222"/>
      <c r="AG545" s="222"/>
      <c r="AH545" s="222"/>
      <c r="AI545" s="222"/>
      <c r="AJ545" s="222"/>
      <c r="AK545" s="222"/>
      <c r="AL545" s="222"/>
      <c r="AM545" s="222"/>
      <c r="AN545" s="222"/>
      <c r="AO545" s="222"/>
      <c r="AP545" s="222"/>
      <c r="AQ545" s="222"/>
      <c r="AR545" s="222"/>
      <c r="AS545" s="222"/>
      <c r="AT545" s="222"/>
      <c r="AU545" s="222"/>
      <c r="AV545" s="222"/>
      <c r="AW545" s="222"/>
      <c r="AX545" s="222"/>
    </row>
    <row r="546" spans="1:50" ht="15.75" customHeight="1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2"/>
      <c r="AM546" s="222"/>
      <c r="AN546" s="222"/>
      <c r="AO546" s="222"/>
      <c r="AP546" s="222"/>
      <c r="AQ546" s="222"/>
      <c r="AR546" s="222"/>
      <c r="AS546" s="222"/>
      <c r="AT546" s="222"/>
      <c r="AU546" s="222"/>
      <c r="AV546" s="222"/>
      <c r="AW546" s="222"/>
      <c r="AX546" s="222"/>
    </row>
    <row r="547" spans="1:50" ht="15.75" customHeight="1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2"/>
      <c r="AL547" s="222"/>
      <c r="AM547" s="222"/>
      <c r="AN547" s="222"/>
      <c r="AO547" s="222"/>
      <c r="AP547" s="222"/>
      <c r="AQ547" s="222"/>
      <c r="AR547" s="222"/>
      <c r="AS547" s="222"/>
      <c r="AT547" s="222"/>
      <c r="AU547" s="222"/>
      <c r="AV547" s="222"/>
      <c r="AW547" s="222"/>
      <c r="AX547" s="222"/>
    </row>
    <row r="548" spans="1:50" ht="15.75" customHeight="1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  <c r="AC548" s="222"/>
      <c r="AD548" s="222"/>
      <c r="AE548" s="222"/>
      <c r="AF548" s="222"/>
      <c r="AG548" s="222"/>
      <c r="AH548" s="222"/>
      <c r="AI548" s="222"/>
      <c r="AJ548" s="222"/>
      <c r="AK548" s="222"/>
      <c r="AL548" s="222"/>
      <c r="AM548" s="222"/>
      <c r="AN548" s="222"/>
      <c r="AO548" s="222"/>
      <c r="AP548" s="222"/>
      <c r="AQ548" s="222"/>
      <c r="AR548" s="222"/>
      <c r="AS548" s="222"/>
      <c r="AT548" s="222"/>
      <c r="AU548" s="222"/>
      <c r="AV548" s="222"/>
      <c r="AW548" s="222"/>
      <c r="AX548" s="222"/>
    </row>
    <row r="549" spans="1:50" ht="15.75" customHeight="1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  <c r="AM549" s="222"/>
      <c r="AN549" s="222"/>
      <c r="AO549" s="222"/>
      <c r="AP549" s="222"/>
      <c r="AQ549" s="222"/>
      <c r="AR549" s="222"/>
      <c r="AS549" s="222"/>
      <c r="AT549" s="222"/>
      <c r="AU549" s="222"/>
      <c r="AV549" s="222"/>
      <c r="AW549" s="222"/>
      <c r="AX549" s="222"/>
    </row>
    <row r="550" spans="1:50" ht="15.75" customHeight="1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  <c r="AC550" s="222"/>
      <c r="AD550" s="222"/>
      <c r="AE550" s="222"/>
      <c r="AF550" s="222"/>
      <c r="AG550" s="222"/>
      <c r="AH550" s="222"/>
      <c r="AI550" s="222"/>
      <c r="AJ550" s="222"/>
      <c r="AK550" s="222"/>
      <c r="AL550" s="222"/>
      <c r="AM550" s="222"/>
      <c r="AN550" s="222"/>
      <c r="AO550" s="222"/>
      <c r="AP550" s="222"/>
      <c r="AQ550" s="222"/>
      <c r="AR550" s="222"/>
      <c r="AS550" s="222"/>
      <c r="AT550" s="222"/>
      <c r="AU550" s="222"/>
      <c r="AV550" s="222"/>
      <c r="AW550" s="222"/>
      <c r="AX550" s="222"/>
    </row>
    <row r="551" spans="1:50" ht="15.75" customHeight="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  <c r="AC551" s="222"/>
      <c r="AD551" s="222"/>
      <c r="AE551" s="222"/>
      <c r="AF551" s="222"/>
      <c r="AG551" s="222"/>
      <c r="AH551" s="222"/>
      <c r="AI551" s="222"/>
      <c r="AJ551" s="222"/>
      <c r="AK551" s="222"/>
      <c r="AL551" s="222"/>
      <c r="AM551" s="222"/>
      <c r="AN551" s="222"/>
      <c r="AO551" s="222"/>
      <c r="AP551" s="222"/>
      <c r="AQ551" s="222"/>
      <c r="AR551" s="222"/>
      <c r="AS551" s="222"/>
      <c r="AT551" s="222"/>
      <c r="AU551" s="222"/>
      <c r="AV551" s="222"/>
      <c r="AW551" s="222"/>
      <c r="AX551" s="222"/>
    </row>
    <row r="552" spans="1:50" ht="15.75" customHeight="1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  <c r="AC552" s="222"/>
      <c r="AD552" s="222"/>
      <c r="AE552" s="222"/>
      <c r="AF552" s="222"/>
      <c r="AG552" s="222"/>
      <c r="AH552" s="222"/>
      <c r="AI552" s="222"/>
      <c r="AJ552" s="222"/>
      <c r="AK552" s="222"/>
      <c r="AL552" s="222"/>
      <c r="AM552" s="222"/>
      <c r="AN552" s="222"/>
      <c r="AO552" s="222"/>
      <c r="AP552" s="222"/>
      <c r="AQ552" s="222"/>
      <c r="AR552" s="222"/>
      <c r="AS552" s="222"/>
      <c r="AT552" s="222"/>
      <c r="AU552" s="222"/>
      <c r="AV552" s="222"/>
      <c r="AW552" s="222"/>
      <c r="AX552" s="222"/>
    </row>
    <row r="553" spans="1:50" ht="15.75" customHeight="1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  <c r="AC553" s="222"/>
      <c r="AD553" s="222"/>
      <c r="AE553" s="222"/>
      <c r="AF553" s="222"/>
      <c r="AG553" s="222"/>
      <c r="AH553" s="222"/>
      <c r="AI553" s="222"/>
      <c r="AJ553" s="222"/>
      <c r="AK553" s="222"/>
      <c r="AL553" s="222"/>
      <c r="AM553" s="222"/>
      <c r="AN553" s="222"/>
      <c r="AO553" s="222"/>
      <c r="AP553" s="222"/>
      <c r="AQ553" s="222"/>
      <c r="AR553" s="222"/>
      <c r="AS553" s="222"/>
      <c r="AT553" s="222"/>
      <c r="AU553" s="222"/>
      <c r="AV553" s="222"/>
      <c r="AW553" s="222"/>
      <c r="AX553" s="222"/>
    </row>
    <row r="554" spans="1:50" ht="15.75" customHeight="1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  <c r="AC554" s="222"/>
      <c r="AD554" s="222"/>
      <c r="AE554" s="222"/>
      <c r="AF554" s="222"/>
      <c r="AG554" s="222"/>
      <c r="AH554" s="222"/>
      <c r="AI554" s="222"/>
      <c r="AJ554" s="222"/>
      <c r="AK554" s="222"/>
      <c r="AL554" s="222"/>
      <c r="AM554" s="222"/>
      <c r="AN554" s="222"/>
      <c r="AO554" s="222"/>
      <c r="AP554" s="222"/>
      <c r="AQ554" s="222"/>
      <c r="AR554" s="222"/>
      <c r="AS554" s="222"/>
      <c r="AT554" s="222"/>
      <c r="AU554" s="222"/>
      <c r="AV554" s="222"/>
      <c r="AW554" s="222"/>
      <c r="AX554" s="222"/>
    </row>
    <row r="555" spans="1:50" ht="15.75" customHeight="1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  <c r="AM555" s="222"/>
      <c r="AN555" s="222"/>
      <c r="AO555" s="222"/>
      <c r="AP555" s="222"/>
      <c r="AQ555" s="222"/>
      <c r="AR555" s="222"/>
      <c r="AS555" s="222"/>
      <c r="AT555" s="222"/>
      <c r="AU555" s="222"/>
      <c r="AV555" s="222"/>
      <c r="AW555" s="222"/>
      <c r="AX555" s="222"/>
    </row>
    <row r="556" spans="1:50" ht="15.75" customHeight="1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  <c r="AC556" s="222"/>
      <c r="AD556" s="222"/>
      <c r="AE556" s="222"/>
      <c r="AF556" s="222"/>
      <c r="AG556" s="222"/>
      <c r="AH556" s="222"/>
      <c r="AI556" s="222"/>
      <c r="AJ556" s="222"/>
      <c r="AK556" s="222"/>
      <c r="AL556" s="222"/>
      <c r="AM556" s="222"/>
      <c r="AN556" s="222"/>
      <c r="AO556" s="222"/>
      <c r="AP556" s="222"/>
      <c r="AQ556" s="222"/>
      <c r="AR556" s="222"/>
      <c r="AS556" s="222"/>
      <c r="AT556" s="222"/>
      <c r="AU556" s="222"/>
      <c r="AV556" s="222"/>
      <c r="AW556" s="222"/>
      <c r="AX556" s="222"/>
    </row>
    <row r="557" spans="1:50" ht="15.75" customHeight="1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  <c r="AC557" s="222"/>
      <c r="AD557" s="222"/>
      <c r="AE557" s="222"/>
      <c r="AF557" s="222"/>
      <c r="AG557" s="222"/>
      <c r="AH557" s="222"/>
      <c r="AI557" s="222"/>
      <c r="AJ557" s="222"/>
      <c r="AK557" s="222"/>
      <c r="AL557" s="222"/>
      <c r="AM557" s="222"/>
      <c r="AN557" s="222"/>
      <c r="AO557" s="222"/>
      <c r="AP557" s="222"/>
      <c r="AQ557" s="222"/>
      <c r="AR557" s="222"/>
      <c r="AS557" s="222"/>
      <c r="AT557" s="222"/>
      <c r="AU557" s="222"/>
      <c r="AV557" s="222"/>
      <c r="AW557" s="222"/>
      <c r="AX557" s="222"/>
    </row>
    <row r="558" spans="1:50" ht="15.75" customHeight="1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  <c r="AC558" s="222"/>
      <c r="AD558" s="222"/>
      <c r="AE558" s="222"/>
      <c r="AF558" s="222"/>
      <c r="AG558" s="222"/>
      <c r="AH558" s="222"/>
      <c r="AI558" s="222"/>
      <c r="AJ558" s="222"/>
      <c r="AK558" s="222"/>
      <c r="AL558" s="222"/>
      <c r="AM558" s="222"/>
      <c r="AN558" s="222"/>
      <c r="AO558" s="222"/>
      <c r="AP558" s="222"/>
      <c r="AQ558" s="222"/>
      <c r="AR558" s="222"/>
      <c r="AS558" s="222"/>
      <c r="AT558" s="222"/>
      <c r="AU558" s="222"/>
      <c r="AV558" s="222"/>
      <c r="AW558" s="222"/>
      <c r="AX558" s="222"/>
    </row>
    <row r="559" spans="1:50" ht="15.75" customHeight="1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  <c r="AC559" s="222"/>
      <c r="AD559" s="222"/>
      <c r="AE559" s="222"/>
      <c r="AF559" s="222"/>
      <c r="AG559" s="222"/>
      <c r="AH559" s="222"/>
      <c r="AI559" s="222"/>
      <c r="AJ559" s="222"/>
      <c r="AK559" s="222"/>
      <c r="AL559" s="222"/>
      <c r="AM559" s="222"/>
      <c r="AN559" s="222"/>
      <c r="AO559" s="222"/>
      <c r="AP559" s="222"/>
      <c r="AQ559" s="222"/>
      <c r="AR559" s="222"/>
      <c r="AS559" s="222"/>
      <c r="AT559" s="222"/>
      <c r="AU559" s="222"/>
      <c r="AV559" s="222"/>
      <c r="AW559" s="222"/>
      <c r="AX559" s="222"/>
    </row>
    <row r="560" spans="1:50" ht="15.75" customHeight="1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  <c r="AC560" s="222"/>
      <c r="AD560" s="222"/>
      <c r="AE560" s="222"/>
      <c r="AF560" s="222"/>
      <c r="AG560" s="222"/>
      <c r="AH560" s="222"/>
      <c r="AI560" s="222"/>
      <c r="AJ560" s="222"/>
      <c r="AK560" s="222"/>
      <c r="AL560" s="222"/>
      <c r="AM560" s="222"/>
      <c r="AN560" s="222"/>
      <c r="AO560" s="222"/>
      <c r="AP560" s="222"/>
      <c r="AQ560" s="222"/>
      <c r="AR560" s="222"/>
      <c r="AS560" s="222"/>
      <c r="AT560" s="222"/>
      <c r="AU560" s="222"/>
      <c r="AV560" s="222"/>
      <c r="AW560" s="222"/>
      <c r="AX560" s="222"/>
    </row>
    <row r="561" spans="1:50" ht="15.75" customHeight="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  <c r="AC561" s="222"/>
      <c r="AD561" s="222"/>
      <c r="AE561" s="222"/>
      <c r="AF561" s="222"/>
      <c r="AG561" s="222"/>
      <c r="AH561" s="222"/>
      <c r="AI561" s="222"/>
      <c r="AJ561" s="222"/>
      <c r="AK561" s="222"/>
      <c r="AL561" s="222"/>
      <c r="AM561" s="222"/>
      <c r="AN561" s="222"/>
      <c r="AO561" s="222"/>
      <c r="AP561" s="222"/>
      <c r="AQ561" s="222"/>
      <c r="AR561" s="222"/>
      <c r="AS561" s="222"/>
      <c r="AT561" s="222"/>
      <c r="AU561" s="222"/>
      <c r="AV561" s="222"/>
      <c r="AW561" s="222"/>
      <c r="AX561" s="222"/>
    </row>
    <row r="562" spans="1:50" ht="15.75" customHeight="1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2"/>
      <c r="AE562" s="222"/>
      <c r="AF562" s="222"/>
      <c r="AG562" s="222"/>
      <c r="AH562" s="222"/>
      <c r="AI562" s="222"/>
      <c r="AJ562" s="222"/>
      <c r="AK562" s="222"/>
      <c r="AL562" s="222"/>
      <c r="AM562" s="222"/>
      <c r="AN562" s="222"/>
      <c r="AO562" s="222"/>
      <c r="AP562" s="222"/>
      <c r="AQ562" s="222"/>
      <c r="AR562" s="222"/>
      <c r="AS562" s="222"/>
      <c r="AT562" s="222"/>
      <c r="AU562" s="222"/>
      <c r="AV562" s="222"/>
      <c r="AW562" s="222"/>
      <c r="AX562" s="222"/>
    </row>
    <row r="563" spans="1:50" ht="15.75" customHeight="1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  <c r="AC563" s="222"/>
      <c r="AD563" s="222"/>
      <c r="AE563" s="222"/>
      <c r="AF563" s="222"/>
      <c r="AG563" s="222"/>
      <c r="AH563" s="222"/>
      <c r="AI563" s="222"/>
      <c r="AJ563" s="222"/>
      <c r="AK563" s="222"/>
      <c r="AL563" s="222"/>
      <c r="AM563" s="222"/>
      <c r="AN563" s="222"/>
      <c r="AO563" s="222"/>
      <c r="AP563" s="222"/>
      <c r="AQ563" s="222"/>
      <c r="AR563" s="222"/>
      <c r="AS563" s="222"/>
      <c r="AT563" s="222"/>
      <c r="AU563" s="222"/>
      <c r="AV563" s="222"/>
      <c r="AW563" s="222"/>
      <c r="AX563" s="222"/>
    </row>
    <row r="564" spans="1:50" ht="15.75" customHeight="1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  <c r="AC564" s="222"/>
      <c r="AD564" s="222"/>
      <c r="AE564" s="222"/>
      <c r="AF564" s="222"/>
      <c r="AG564" s="222"/>
      <c r="AH564" s="222"/>
      <c r="AI564" s="222"/>
      <c r="AJ564" s="222"/>
      <c r="AK564" s="222"/>
      <c r="AL564" s="222"/>
      <c r="AM564" s="222"/>
      <c r="AN564" s="222"/>
      <c r="AO564" s="222"/>
      <c r="AP564" s="222"/>
      <c r="AQ564" s="222"/>
      <c r="AR564" s="222"/>
      <c r="AS564" s="222"/>
      <c r="AT564" s="222"/>
      <c r="AU564" s="222"/>
      <c r="AV564" s="222"/>
      <c r="AW564" s="222"/>
      <c r="AX564" s="222"/>
    </row>
    <row r="565" spans="1:50" ht="15.75" customHeight="1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  <c r="AC565" s="222"/>
      <c r="AD565" s="222"/>
      <c r="AE565" s="222"/>
      <c r="AF565" s="222"/>
      <c r="AG565" s="222"/>
      <c r="AH565" s="222"/>
      <c r="AI565" s="222"/>
      <c r="AJ565" s="222"/>
      <c r="AK565" s="222"/>
      <c r="AL565" s="222"/>
      <c r="AM565" s="222"/>
      <c r="AN565" s="222"/>
      <c r="AO565" s="222"/>
      <c r="AP565" s="222"/>
      <c r="AQ565" s="222"/>
      <c r="AR565" s="222"/>
      <c r="AS565" s="222"/>
      <c r="AT565" s="222"/>
      <c r="AU565" s="222"/>
      <c r="AV565" s="222"/>
      <c r="AW565" s="222"/>
      <c r="AX565" s="222"/>
    </row>
    <row r="566" spans="1:50" ht="15.75" customHeight="1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  <c r="AC566" s="222"/>
      <c r="AD566" s="222"/>
      <c r="AE566" s="222"/>
      <c r="AF566" s="222"/>
      <c r="AG566" s="222"/>
      <c r="AH566" s="222"/>
      <c r="AI566" s="222"/>
      <c r="AJ566" s="222"/>
      <c r="AK566" s="222"/>
      <c r="AL566" s="222"/>
      <c r="AM566" s="222"/>
      <c r="AN566" s="222"/>
      <c r="AO566" s="222"/>
      <c r="AP566" s="222"/>
      <c r="AQ566" s="222"/>
      <c r="AR566" s="222"/>
      <c r="AS566" s="222"/>
      <c r="AT566" s="222"/>
      <c r="AU566" s="222"/>
      <c r="AV566" s="222"/>
      <c r="AW566" s="222"/>
      <c r="AX566" s="222"/>
    </row>
    <row r="567" spans="1:50" ht="15.75" customHeight="1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  <c r="AC567" s="222"/>
      <c r="AD567" s="222"/>
      <c r="AE567" s="222"/>
      <c r="AF567" s="222"/>
      <c r="AG567" s="222"/>
      <c r="AH567" s="222"/>
      <c r="AI567" s="222"/>
      <c r="AJ567" s="222"/>
      <c r="AK567" s="222"/>
      <c r="AL567" s="222"/>
      <c r="AM567" s="222"/>
      <c r="AN567" s="222"/>
      <c r="AO567" s="222"/>
      <c r="AP567" s="222"/>
      <c r="AQ567" s="222"/>
      <c r="AR567" s="222"/>
      <c r="AS567" s="222"/>
      <c r="AT567" s="222"/>
      <c r="AU567" s="222"/>
      <c r="AV567" s="222"/>
      <c r="AW567" s="222"/>
      <c r="AX567" s="222"/>
    </row>
    <row r="568" spans="1:50" ht="15.75" customHeight="1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  <c r="AC568" s="222"/>
      <c r="AD568" s="222"/>
      <c r="AE568" s="222"/>
      <c r="AF568" s="222"/>
      <c r="AG568" s="222"/>
      <c r="AH568" s="222"/>
      <c r="AI568" s="222"/>
      <c r="AJ568" s="222"/>
      <c r="AK568" s="222"/>
      <c r="AL568" s="222"/>
      <c r="AM568" s="222"/>
      <c r="AN568" s="222"/>
      <c r="AO568" s="222"/>
      <c r="AP568" s="222"/>
      <c r="AQ568" s="222"/>
      <c r="AR568" s="222"/>
      <c r="AS568" s="222"/>
      <c r="AT568" s="222"/>
      <c r="AU568" s="222"/>
      <c r="AV568" s="222"/>
      <c r="AW568" s="222"/>
      <c r="AX568" s="222"/>
    </row>
    <row r="569" spans="1:50" ht="15.75" customHeight="1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  <c r="AC569" s="222"/>
      <c r="AD569" s="222"/>
      <c r="AE569" s="222"/>
      <c r="AF569" s="222"/>
      <c r="AG569" s="222"/>
      <c r="AH569" s="222"/>
      <c r="AI569" s="222"/>
      <c r="AJ569" s="222"/>
      <c r="AK569" s="222"/>
      <c r="AL569" s="222"/>
      <c r="AM569" s="222"/>
      <c r="AN569" s="222"/>
      <c r="AO569" s="222"/>
      <c r="AP569" s="222"/>
      <c r="AQ569" s="222"/>
      <c r="AR569" s="222"/>
      <c r="AS569" s="222"/>
      <c r="AT569" s="222"/>
      <c r="AU569" s="222"/>
      <c r="AV569" s="222"/>
      <c r="AW569" s="222"/>
      <c r="AX569" s="222"/>
    </row>
    <row r="570" spans="1:50" ht="15.75" customHeight="1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  <c r="AC570" s="222"/>
      <c r="AD570" s="222"/>
      <c r="AE570" s="222"/>
      <c r="AF570" s="222"/>
      <c r="AG570" s="222"/>
      <c r="AH570" s="222"/>
      <c r="AI570" s="222"/>
      <c r="AJ570" s="222"/>
      <c r="AK570" s="222"/>
      <c r="AL570" s="222"/>
      <c r="AM570" s="222"/>
      <c r="AN570" s="222"/>
      <c r="AO570" s="222"/>
      <c r="AP570" s="222"/>
      <c r="AQ570" s="222"/>
      <c r="AR570" s="222"/>
      <c r="AS570" s="222"/>
      <c r="AT570" s="222"/>
      <c r="AU570" s="222"/>
      <c r="AV570" s="222"/>
      <c r="AW570" s="222"/>
      <c r="AX570" s="222"/>
    </row>
    <row r="571" spans="1:50" ht="15.75" customHeight="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  <c r="AC571" s="222"/>
      <c r="AD571" s="222"/>
      <c r="AE571" s="222"/>
      <c r="AF571" s="222"/>
      <c r="AG571" s="222"/>
      <c r="AH571" s="222"/>
      <c r="AI571" s="222"/>
      <c r="AJ571" s="222"/>
      <c r="AK571" s="222"/>
      <c r="AL571" s="222"/>
      <c r="AM571" s="222"/>
      <c r="AN571" s="222"/>
      <c r="AO571" s="222"/>
      <c r="AP571" s="222"/>
      <c r="AQ571" s="222"/>
      <c r="AR571" s="222"/>
      <c r="AS571" s="222"/>
      <c r="AT571" s="222"/>
      <c r="AU571" s="222"/>
      <c r="AV571" s="222"/>
      <c r="AW571" s="222"/>
      <c r="AX571" s="222"/>
    </row>
    <row r="572" spans="1:50" ht="15.75" customHeight="1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  <c r="AC572" s="222"/>
      <c r="AD572" s="222"/>
      <c r="AE572" s="222"/>
      <c r="AF572" s="222"/>
      <c r="AG572" s="222"/>
      <c r="AH572" s="222"/>
      <c r="AI572" s="222"/>
      <c r="AJ572" s="222"/>
      <c r="AK572" s="222"/>
      <c r="AL572" s="222"/>
      <c r="AM572" s="222"/>
      <c r="AN572" s="222"/>
      <c r="AO572" s="222"/>
      <c r="AP572" s="222"/>
      <c r="AQ572" s="222"/>
      <c r="AR572" s="222"/>
      <c r="AS572" s="222"/>
      <c r="AT572" s="222"/>
      <c r="AU572" s="222"/>
      <c r="AV572" s="222"/>
      <c r="AW572" s="222"/>
      <c r="AX572" s="222"/>
    </row>
    <row r="573" spans="1:50" ht="15.75" customHeight="1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  <c r="AC573" s="222"/>
      <c r="AD573" s="222"/>
      <c r="AE573" s="222"/>
      <c r="AF573" s="222"/>
      <c r="AG573" s="222"/>
      <c r="AH573" s="222"/>
      <c r="AI573" s="222"/>
      <c r="AJ573" s="222"/>
      <c r="AK573" s="222"/>
      <c r="AL573" s="222"/>
      <c r="AM573" s="222"/>
      <c r="AN573" s="222"/>
      <c r="AO573" s="222"/>
      <c r="AP573" s="222"/>
      <c r="AQ573" s="222"/>
      <c r="AR573" s="222"/>
      <c r="AS573" s="222"/>
      <c r="AT573" s="222"/>
      <c r="AU573" s="222"/>
      <c r="AV573" s="222"/>
      <c r="AW573" s="222"/>
      <c r="AX573" s="222"/>
    </row>
    <row r="574" spans="1:50" ht="15.75" customHeight="1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  <c r="AC574" s="222"/>
      <c r="AD574" s="222"/>
      <c r="AE574" s="222"/>
      <c r="AF574" s="222"/>
      <c r="AG574" s="222"/>
      <c r="AH574" s="222"/>
      <c r="AI574" s="222"/>
      <c r="AJ574" s="222"/>
      <c r="AK574" s="222"/>
      <c r="AL574" s="222"/>
      <c r="AM574" s="222"/>
      <c r="AN574" s="222"/>
      <c r="AO574" s="222"/>
      <c r="AP574" s="222"/>
      <c r="AQ574" s="222"/>
      <c r="AR574" s="222"/>
      <c r="AS574" s="222"/>
      <c r="AT574" s="222"/>
      <c r="AU574" s="222"/>
      <c r="AV574" s="222"/>
      <c r="AW574" s="222"/>
      <c r="AX574" s="222"/>
    </row>
    <row r="575" spans="1:50" ht="15.75" customHeight="1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  <c r="AC575" s="222"/>
      <c r="AD575" s="222"/>
      <c r="AE575" s="222"/>
      <c r="AF575" s="222"/>
      <c r="AG575" s="222"/>
      <c r="AH575" s="222"/>
      <c r="AI575" s="222"/>
      <c r="AJ575" s="222"/>
      <c r="AK575" s="222"/>
      <c r="AL575" s="222"/>
      <c r="AM575" s="222"/>
      <c r="AN575" s="222"/>
      <c r="AO575" s="222"/>
      <c r="AP575" s="222"/>
      <c r="AQ575" s="222"/>
      <c r="AR575" s="222"/>
      <c r="AS575" s="222"/>
      <c r="AT575" s="222"/>
      <c r="AU575" s="222"/>
      <c r="AV575" s="222"/>
      <c r="AW575" s="222"/>
      <c r="AX575" s="222"/>
    </row>
    <row r="576" spans="1:50" ht="15.75" customHeight="1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  <c r="AC576" s="222"/>
      <c r="AD576" s="222"/>
      <c r="AE576" s="222"/>
      <c r="AF576" s="222"/>
      <c r="AG576" s="222"/>
      <c r="AH576" s="222"/>
      <c r="AI576" s="222"/>
      <c r="AJ576" s="222"/>
      <c r="AK576" s="222"/>
      <c r="AL576" s="222"/>
      <c r="AM576" s="222"/>
      <c r="AN576" s="222"/>
      <c r="AO576" s="222"/>
      <c r="AP576" s="222"/>
      <c r="AQ576" s="222"/>
      <c r="AR576" s="222"/>
      <c r="AS576" s="222"/>
      <c r="AT576" s="222"/>
      <c r="AU576" s="222"/>
      <c r="AV576" s="222"/>
      <c r="AW576" s="222"/>
      <c r="AX576" s="222"/>
    </row>
    <row r="577" spans="1:50" ht="15.75" customHeight="1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  <c r="AC577" s="222"/>
      <c r="AD577" s="222"/>
      <c r="AE577" s="222"/>
      <c r="AF577" s="222"/>
      <c r="AG577" s="222"/>
      <c r="AH577" s="222"/>
      <c r="AI577" s="222"/>
      <c r="AJ577" s="222"/>
      <c r="AK577" s="222"/>
      <c r="AL577" s="222"/>
      <c r="AM577" s="222"/>
      <c r="AN577" s="222"/>
      <c r="AO577" s="222"/>
      <c r="AP577" s="222"/>
      <c r="AQ577" s="222"/>
      <c r="AR577" s="222"/>
      <c r="AS577" s="222"/>
      <c r="AT577" s="222"/>
      <c r="AU577" s="222"/>
      <c r="AV577" s="222"/>
      <c r="AW577" s="222"/>
      <c r="AX577" s="222"/>
    </row>
    <row r="578" spans="1:50" ht="15.75" customHeight="1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  <c r="AC578" s="222"/>
      <c r="AD578" s="222"/>
      <c r="AE578" s="222"/>
      <c r="AF578" s="222"/>
      <c r="AG578" s="222"/>
      <c r="AH578" s="222"/>
      <c r="AI578" s="222"/>
      <c r="AJ578" s="222"/>
      <c r="AK578" s="222"/>
      <c r="AL578" s="222"/>
      <c r="AM578" s="222"/>
      <c r="AN578" s="222"/>
      <c r="AO578" s="222"/>
      <c r="AP578" s="222"/>
      <c r="AQ578" s="222"/>
      <c r="AR578" s="222"/>
      <c r="AS578" s="222"/>
      <c r="AT578" s="222"/>
      <c r="AU578" s="222"/>
      <c r="AV578" s="222"/>
      <c r="AW578" s="222"/>
      <c r="AX578" s="222"/>
    </row>
    <row r="579" spans="1:50" ht="15.75" customHeight="1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  <c r="AC579" s="222"/>
      <c r="AD579" s="222"/>
      <c r="AE579" s="222"/>
      <c r="AF579" s="222"/>
      <c r="AG579" s="222"/>
      <c r="AH579" s="222"/>
      <c r="AI579" s="222"/>
      <c r="AJ579" s="222"/>
      <c r="AK579" s="222"/>
      <c r="AL579" s="222"/>
      <c r="AM579" s="222"/>
      <c r="AN579" s="222"/>
      <c r="AO579" s="222"/>
      <c r="AP579" s="222"/>
      <c r="AQ579" s="222"/>
      <c r="AR579" s="222"/>
      <c r="AS579" s="222"/>
      <c r="AT579" s="222"/>
      <c r="AU579" s="222"/>
      <c r="AV579" s="222"/>
      <c r="AW579" s="222"/>
      <c r="AX579" s="222"/>
    </row>
    <row r="580" spans="1:50" ht="15.75" customHeight="1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  <c r="AC580" s="222"/>
      <c r="AD580" s="222"/>
      <c r="AE580" s="222"/>
      <c r="AF580" s="222"/>
      <c r="AG580" s="222"/>
      <c r="AH580" s="222"/>
      <c r="AI580" s="222"/>
      <c r="AJ580" s="222"/>
      <c r="AK580" s="222"/>
      <c r="AL580" s="222"/>
      <c r="AM580" s="222"/>
      <c r="AN580" s="222"/>
      <c r="AO580" s="222"/>
      <c r="AP580" s="222"/>
      <c r="AQ580" s="222"/>
      <c r="AR580" s="222"/>
      <c r="AS580" s="222"/>
      <c r="AT580" s="222"/>
      <c r="AU580" s="222"/>
      <c r="AV580" s="222"/>
      <c r="AW580" s="222"/>
      <c r="AX580" s="222"/>
    </row>
    <row r="581" spans="1:50" ht="15.75" customHeight="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  <c r="AC581" s="222"/>
      <c r="AD581" s="222"/>
      <c r="AE581" s="222"/>
      <c r="AF581" s="222"/>
      <c r="AG581" s="222"/>
      <c r="AH581" s="222"/>
      <c r="AI581" s="222"/>
      <c r="AJ581" s="222"/>
      <c r="AK581" s="222"/>
      <c r="AL581" s="222"/>
      <c r="AM581" s="222"/>
      <c r="AN581" s="222"/>
      <c r="AO581" s="222"/>
      <c r="AP581" s="222"/>
      <c r="AQ581" s="222"/>
      <c r="AR581" s="222"/>
      <c r="AS581" s="222"/>
      <c r="AT581" s="222"/>
      <c r="AU581" s="222"/>
      <c r="AV581" s="222"/>
      <c r="AW581" s="222"/>
      <c r="AX581" s="222"/>
    </row>
    <row r="582" spans="1:50" ht="15.75" customHeight="1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  <c r="AM582" s="222"/>
      <c r="AN582" s="222"/>
      <c r="AO582" s="222"/>
      <c r="AP582" s="222"/>
      <c r="AQ582" s="222"/>
      <c r="AR582" s="222"/>
      <c r="AS582" s="222"/>
      <c r="AT582" s="222"/>
      <c r="AU582" s="222"/>
      <c r="AV582" s="222"/>
      <c r="AW582" s="222"/>
      <c r="AX582" s="222"/>
    </row>
    <row r="583" spans="1:50" ht="15.75" customHeight="1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  <c r="AC583" s="222"/>
      <c r="AD583" s="222"/>
      <c r="AE583" s="222"/>
      <c r="AF583" s="222"/>
      <c r="AG583" s="222"/>
      <c r="AH583" s="222"/>
      <c r="AI583" s="222"/>
      <c r="AJ583" s="222"/>
      <c r="AK583" s="222"/>
      <c r="AL583" s="222"/>
      <c r="AM583" s="222"/>
      <c r="AN583" s="222"/>
      <c r="AO583" s="222"/>
      <c r="AP583" s="222"/>
      <c r="AQ583" s="222"/>
      <c r="AR583" s="222"/>
      <c r="AS583" s="222"/>
      <c r="AT583" s="222"/>
      <c r="AU583" s="222"/>
      <c r="AV583" s="222"/>
      <c r="AW583" s="222"/>
      <c r="AX583" s="222"/>
    </row>
    <row r="584" spans="1:50" ht="15.75" customHeight="1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  <c r="AC584" s="222"/>
      <c r="AD584" s="222"/>
      <c r="AE584" s="222"/>
      <c r="AF584" s="222"/>
      <c r="AG584" s="222"/>
      <c r="AH584" s="222"/>
      <c r="AI584" s="222"/>
      <c r="AJ584" s="222"/>
      <c r="AK584" s="222"/>
      <c r="AL584" s="222"/>
      <c r="AM584" s="222"/>
      <c r="AN584" s="222"/>
      <c r="AO584" s="222"/>
      <c r="AP584" s="222"/>
      <c r="AQ584" s="222"/>
      <c r="AR584" s="222"/>
      <c r="AS584" s="222"/>
      <c r="AT584" s="222"/>
      <c r="AU584" s="222"/>
      <c r="AV584" s="222"/>
      <c r="AW584" s="222"/>
      <c r="AX584" s="222"/>
    </row>
    <row r="585" spans="1:50" ht="15.75" customHeight="1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  <c r="AC585" s="222"/>
      <c r="AD585" s="222"/>
      <c r="AE585" s="222"/>
      <c r="AF585" s="222"/>
      <c r="AG585" s="222"/>
      <c r="AH585" s="222"/>
      <c r="AI585" s="222"/>
      <c r="AJ585" s="222"/>
      <c r="AK585" s="222"/>
      <c r="AL585" s="222"/>
      <c r="AM585" s="222"/>
      <c r="AN585" s="222"/>
      <c r="AO585" s="222"/>
      <c r="AP585" s="222"/>
      <c r="AQ585" s="222"/>
      <c r="AR585" s="222"/>
      <c r="AS585" s="222"/>
      <c r="AT585" s="222"/>
      <c r="AU585" s="222"/>
      <c r="AV585" s="222"/>
      <c r="AW585" s="222"/>
      <c r="AX585" s="222"/>
    </row>
    <row r="586" spans="1:50" ht="15.75" customHeight="1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  <c r="AC586" s="222"/>
      <c r="AD586" s="222"/>
      <c r="AE586" s="222"/>
      <c r="AF586" s="222"/>
      <c r="AG586" s="222"/>
      <c r="AH586" s="222"/>
      <c r="AI586" s="222"/>
      <c r="AJ586" s="222"/>
      <c r="AK586" s="222"/>
      <c r="AL586" s="222"/>
      <c r="AM586" s="222"/>
      <c r="AN586" s="222"/>
      <c r="AO586" s="222"/>
      <c r="AP586" s="222"/>
      <c r="AQ586" s="222"/>
      <c r="AR586" s="222"/>
      <c r="AS586" s="222"/>
      <c r="AT586" s="222"/>
      <c r="AU586" s="222"/>
      <c r="AV586" s="222"/>
      <c r="AW586" s="222"/>
      <c r="AX586" s="222"/>
    </row>
    <row r="587" spans="1:50" ht="15.75" customHeight="1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  <c r="AC587" s="222"/>
      <c r="AD587" s="222"/>
      <c r="AE587" s="222"/>
      <c r="AF587" s="222"/>
      <c r="AG587" s="222"/>
      <c r="AH587" s="222"/>
      <c r="AI587" s="222"/>
      <c r="AJ587" s="222"/>
      <c r="AK587" s="222"/>
      <c r="AL587" s="222"/>
      <c r="AM587" s="222"/>
      <c r="AN587" s="222"/>
      <c r="AO587" s="222"/>
      <c r="AP587" s="222"/>
      <c r="AQ587" s="222"/>
      <c r="AR587" s="222"/>
      <c r="AS587" s="222"/>
      <c r="AT587" s="222"/>
      <c r="AU587" s="222"/>
      <c r="AV587" s="222"/>
      <c r="AW587" s="222"/>
      <c r="AX587" s="222"/>
    </row>
    <row r="588" spans="1:50" ht="15.75" customHeight="1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  <c r="AC588" s="222"/>
      <c r="AD588" s="222"/>
      <c r="AE588" s="222"/>
      <c r="AF588" s="222"/>
      <c r="AG588" s="222"/>
      <c r="AH588" s="222"/>
      <c r="AI588" s="222"/>
      <c r="AJ588" s="222"/>
      <c r="AK588" s="222"/>
      <c r="AL588" s="222"/>
      <c r="AM588" s="222"/>
      <c r="AN588" s="222"/>
      <c r="AO588" s="222"/>
      <c r="AP588" s="222"/>
      <c r="AQ588" s="222"/>
      <c r="AR588" s="222"/>
      <c r="AS588" s="222"/>
      <c r="AT588" s="222"/>
      <c r="AU588" s="222"/>
      <c r="AV588" s="222"/>
      <c r="AW588" s="222"/>
      <c r="AX588" s="222"/>
    </row>
    <row r="589" spans="1:50" ht="15.75" customHeight="1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  <c r="AC589" s="222"/>
      <c r="AD589" s="222"/>
      <c r="AE589" s="222"/>
      <c r="AF589" s="222"/>
      <c r="AG589" s="222"/>
      <c r="AH589" s="222"/>
      <c r="AI589" s="222"/>
      <c r="AJ589" s="222"/>
      <c r="AK589" s="222"/>
      <c r="AL589" s="222"/>
      <c r="AM589" s="222"/>
      <c r="AN589" s="222"/>
      <c r="AO589" s="222"/>
      <c r="AP589" s="222"/>
      <c r="AQ589" s="222"/>
      <c r="AR589" s="222"/>
      <c r="AS589" s="222"/>
      <c r="AT589" s="222"/>
      <c r="AU589" s="222"/>
      <c r="AV589" s="222"/>
      <c r="AW589" s="222"/>
      <c r="AX589" s="222"/>
    </row>
    <row r="590" spans="1:50" ht="15.75" customHeight="1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  <c r="AC590" s="222"/>
      <c r="AD590" s="222"/>
      <c r="AE590" s="222"/>
      <c r="AF590" s="222"/>
      <c r="AG590" s="222"/>
      <c r="AH590" s="222"/>
      <c r="AI590" s="222"/>
      <c r="AJ590" s="222"/>
      <c r="AK590" s="222"/>
      <c r="AL590" s="222"/>
      <c r="AM590" s="222"/>
      <c r="AN590" s="222"/>
      <c r="AO590" s="222"/>
      <c r="AP590" s="222"/>
      <c r="AQ590" s="222"/>
      <c r="AR590" s="222"/>
      <c r="AS590" s="222"/>
      <c r="AT590" s="222"/>
      <c r="AU590" s="222"/>
      <c r="AV590" s="222"/>
      <c r="AW590" s="222"/>
      <c r="AX590" s="222"/>
    </row>
    <row r="591" spans="1:50" ht="15.75" customHeight="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  <c r="AC591" s="222"/>
      <c r="AD591" s="222"/>
      <c r="AE591" s="222"/>
      <c r="AF591" s="222"/>
      <c r="AG591" s="222"/>
      <c r="AH591" s="222"/>
      <c r="AI591" s="222"/>
      <c r="AJ591" s="222"/>
      <c r="AK591" s="222"/>
      <c r="AL591" s="222"/>
      <c r="AM591" s="222"/>
      <c r="AN591" s="222"/>
      <c r="AO591" s="222"/>
      <c r="AP591" s="222"/>
      <c r="AQ591" s="222"/>
      <c r="AR591" s="222"/>
      <c r="AS591" s="222"/>
      <c r="AT591" s="222"/>
      <c r="AU591" s="222"/>
      <c r="AV591" s="222"/>
      <c r="AW591" s="222"/>
      <c r="AX591" s="222"/>
    </row>
    <row r="592" spans="1:50" ht="15.75" customHeight="1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  <c r="AC592" s="222"/>
      <c r="AD592" s="222"/>
      <c r="AE592" s="222"/>
      <c r="AF592" s="222"/>
      <c r="AG592" s="222"/>
      <c r="AH592" s="222"/>
      <c r="AI592" s="222"/>
      <c r="AJ592" s="222"/>
      <c r="AK592" s="222"/>
      <c r="AL592" s="222"/>
      <c r="AM592" s="222"/>
      <c r="AN592" s="222"/>
      <c r="AO592" s="222"/>
      <c r="AP592" s="222"/>
      <c r="AQ592" s="222"/>
      <c r="AR592" s="222"/>
      <c r="AS592" s="222"/>
      <c r="AT592" s="222"/>
      <c r="AU592" s="222"/>
      <c r="AV592" s="222"/>
      <c r="AW592" s="222"/>
      <c r="AX592" s="222"/>
    </row>
    <row r="593" spans="1:50" ht="15.75" customHeight="1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  <c r="AC593" s="222"/>
      <c r="AD593" s="222"/>
      <c r="AE593" s="222"/>
      <c r="AF593" s="222"/>
      <c r="AG593" s="222"/>
      <c r="AH593" s="222"/>
      <c r="AI593" s="222"/>
      <c r="AJ593" s="222"/>
      <c r="AK593" s="222"/>
      <c r="AL593" s="222"/>
      <c r="AM593" s="222"/>
      <c r="AN593" s="222"/>
      <c r="AO593" s="222"/>
      <c r="AP593" s="222"/>
      <c r="AQ593" s="222"/>
      <c r="AR593" s="222"/>
      <c r="AS593" s="222"/>
      <c r="AT593" s="222"/>
      <c r="AU593" s="222"/>
      <c r="AV593" s="222"/>
      <c r="AW593" s="222"/>
      <c r="AX593" s="222"/>
    </row>
    <row r="594" spans="1:50" ht="15.75" customHeight="1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  <c r="AC594" s="222"/>
      <c r="AD594" s="222"/>
      <c r="AE594" s="222"/>
      <c r="AF594" s="222"/>
      <c r="AG594" s="222"/>
      <c r="AH594" s="222"/>
      <c r="AI594" s="222"/>
      <c r="AJ594" s="222"/>
      <c r="AK594" s="222"/>
      <c r="AL594" s="222"/>
      <c r="AM594" s="222"/>
      <c r="AN594" s="222"/>
      <c r="AO594" s="222"/>
      <c r="AP594" s="222"/>
      <c r="AQ594" s="222"/>
      <c r="AR594" s="222"/>
      <c r="AS594" s="222"/>
      <c r="AT594" s="222"/>
      <c r="AU594" s="222"/>
      <c r="AV594" s="222"/>
      <c r="AW594" s="222"/>
      <c r="AX594" s="222"/>
    </row>
    <row r="595" spans="1:50" ht="15.75" customHeight="1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  <c r="AC595" s="222"/>
      <c r="AD595" s="222"/>
      <c r="AE595" s="222"/>
      <c r="AF595" s="222"/>
      <c r="AG595" s="222"/>
      <c r="AH595" s="222"/>
      <c r="AI595" s="222"/>
      <c r="AJ595" s="222"/>
      <c r="AK595" s="222"/>
      <c r="AL595" s="222"/>
      <c r="AM595" s="222"/>
      <c r="AN595" s="222"/>
      <c r="AO595" s="222"/>
      <c r="AP595" s="222"/>
      <c r="AQ595" s="222"/>
      <c r="AR595" s="222"/>
      <c r="AS595" s="222"/>
      <c r="AT595" s="222"/>
      <c r="AU595" s="222"/>
      <c r="AV595" s="222"/>
      <c r="AW595" s="222"/>
      <c r="AX595" s="222"/>
    </row>
    <row r="596" spans="1:50" ht="15.75" customHeight="1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  <c r="AC596" s="222"/>
      <c r="AD596" s="222"/>
      <c r="AE596" s="222"/>
      <c r="AF596" s="222"/>
      <c r="AG596" s="222"/>
      <c r="AH596" s="222"/>
      <c r="AI596" s="222"/>
      <c r="AJ596" s="222"/>
      <c r="AK596" s="222"/>
      <c r="AL596" s="222"/>
      <c r="AM596" s="222"/>
      <c r="AN596" s="222"/>
      <c r="AO596" s="222"/>
      <c r="AP596" s="222"/>
      <c r="AQ596" s="222"/>
      <c r="AR596" s="222"/>
      <c r="AS596" s="222"/>
      <c r="AT596" s="222"/>
      <c r="AU596" s="222"/>
      <c r="AV596" s="222"/>
      <c r="AW596" s="222"/>
      <c r="AX596" s="222"/>
    </row>
    <row r="597" spans="1:50" ht="15.75" customHeight="1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  <c r="AC597" s="222"/>
      <c r="AD597" s="222"/>
      <c r="AE597" s="222"/>
      <c r="AF597" s="222"/>
      <c r="AG597" s="222"/>
      <c r="AH597" s="222"/>
      <c r="AI597" s="222"/>
      <c r="AJ597" s="222"/>
      <c r="AK597" s="222"/>
      <c r="AL597" s="222"/>
      <c r="AM597" s="222"/>
      <c r="AN597" s="222"/>
      <c r="AO597" s="222"/>
      <c r="AP597" s="222"/>
      <c r="AQ597" s="222"/>
      <c r="AR597" s="222"/>
      <c r="AS597" s="222"/>
      <c r="AT597" s="222"/>
      <c r="AU597" s="222"/>
      <c r="AV597" s="222"/>
      <c r="AW597" s="222"/>
      <c r="AX597" s="222"/>
    </row>
    <row r="598" spans="1:50" ht="15.75" customHeight="1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  <c r="AC598" s="222"/>
      <c r="AD598" s="222"/>
      <c r="AE598" s="222"/>
      <c r="AF598" s="222"/>
      <c r="AG598" s="222"/>
      <c r="AH598" s="222"/>
      <c r="AI598" s="222"/>
      <c r="AJ598" s="222"/>
      <c r="AK598" s="222"/>
      <c r="AL598" s="222"/>
      <c r="AM598" s="222"/>
      <c r="AN598" s="222"/>
      <c r="AO598" s="222"/>
      <c r="AP598" s="222"/>
      <c r="AQ598" s="222"/>
      <c r="AR598" s="222"/>
      <c r="AS598" s="222"/>
      <c r="AT598" s="222"/>
      <c r="AU598" s="222"/>
      <c r="AV598" s="222"/>
      <c r="AW598" s="222"/>
      <c r="AX598" s="222"/>
    </row>
    <row r="599" spans="1:50" ht="15.75" customHeight="1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  <c r="AC599" s="222"/>
      <c r="AD599" s="222"/>
      <c r="AE599" s="222"/>
      <c r="AF599" s="222"/>
      <c r="AG599" s="222"/>
      <c r="AH599" s="222"/>
      <c r="AI599" s="222"/>
      <c r="AJ599" s="222"/>
      <c r="AK599" s="222"/>
      <c r="AL599" s="222"/>
      <c r="AM599" s="222"/>
      <c r="AN599" s="222"/>
      <c r="AO599" s="222"/>
      <c r="AP599" s="222"/>
      <c r="AQ599" s="222"/>
      <c r="AR599" s="222"/>
      <c r="AS599" s="222"/>
      <c r="AT599" s="222"/>
      <c r="AU599" s="222"/>
      <c r="AV599" s="222"/>
      <c r="AW599" s="222"/>
      <c r="AX599" s="222"/>
    </row>
    <row r="600" spans="1:50" ht="15.75" customHeight="1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  <c r="AC600" s="222"/>
      <c r="AD600" s="222"/>
      <c r="AE600" s="222"/>
      <c r="AF600" s="222"/>
      <c r="AG600" s="222"/>
      <c r="AH600" s="222"/>
      <c r="AI600" s="222"/>
      <c r="AJ600" s="222"/>
      <c r="AK600" s="222"/>
      <c r="AL600" s="222"/>
      <c r="AM600" s="222"/>
      <c r="AN600" s="222"/>
      <c r="AO600" s="222"/>
      <c r="AP600" s="222"/>
      <c r="AQ600" s="222"/>
      <c r="AR600" s="222"/>
      <c r="AS600" s="222"/>
      <c r="AT600" s="222"/>
      <c r="AU600" s="222"/>
      <c r="AV600" s="222"/>
      <c r="AW600" s="222"/>
      <c r="AX600" s="222"/>
    </row>
    <row r="601" spans="1:50" ht="15.75" customHeight="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  <c r="AC601" s="222"/>
      <c r="AD601" s="222"/>
      <c r="AE601" s="222"/>
      <c r="AF601" s="222"/>
      <c r="AG601" s="222"/>
      <c r="AH601" s="222"/>
      <c r="AI601" s="222"/>
      <c r="AJ601" s="222"/>
      <c r="AK601" s="222"/>
      <c r="AL601" s="222"/>
      <c r="AM601" s="222"/>
      <c r="AN601" s="222"/>
      <c r="AO601" s="222"/>
      <c r="AP601" s="222"/>
      <c r="AQ601" s="222"/>
      <c r="AR601" s="222"/>
      <c r="AS601" s="222"/>
      <c r="AT601" s="222"/>
      <c r="AU601" s="222"/>
      <c r="AV601" s="222"/>
      <c r="AW601" s="222"/>
      <c r="AX601" s="222"/>
    </row>
    <row r="602" spans="1:50" ht="15.75" customHeight="1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  <c r="AC602" s="222"/>
      <c r="AD602" s="222"/>
      <c r="AE602" s="222"/>
      <c r="AF602" s="222"/>
      <c r="AG602" s="222"/>
      <c r="AH602" s="222"/>
      <c r="AI602" s="222"/>
      <c r="AJ602" s="222"/>
      <c r="AK602" s="222"/>
      <c r="AL602" s="222"/>
      <c r="AM602" s="222"/>
      <c r="AN602" s="222"/>
      <c r="AO602" s="222"/>
      <c r="AP602" s="222"/>
      <c r="AQ602" s="222"/>
      <c r="AR602" s="222"/>
      <c r="AS602" s="222"/>
      <c r="AT602" s="222"/>
      <c r="AU602" s="222"/>
      <c r="AV602" s="222"/>
      <c r="AW602" s="222"/>
      <c r="AX602" s="222"/>
    </row>
    <row r="603" spans="1:50" ht="15.75" customHeight="1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  <c r="AC603" s="222"/>
      <c r="AD603" s="222"/>
      <c r="AE603" s="222"/>
      <c r="AF603" s="222"/>
      <c r="AG603" s="222"/>
      <c r="AH603" s="222"/>
      <c r="AI603" s="222"/>
      <c r="AJ603" s="222"/>
      <c r="AK603" s="222"/>
      <c r="AL603" s="222"/>
      <c r="AM603" s="222"/>
      <c r="AN603" s="222"/>
      <c r="AO603" s="222"/>
      <c r="AP603" s="222"/>
      <c r="AQ603" s="222"/>
      <c r="AR603" s="222"/>
      <c r="AS603" s="222"/>
      <c r="AT603" s="222"/>
      <c r="AU603" s="222"/>
      <c r="AV603" s="222"/>
      <c r="AW603" s="222"/>
      <c r="AX603" s="222"/>
    </row>
    <row r="604" spans="1:50" ht="15.75" customHeight="1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  <c r="AC604" s="222"/>
      <c r="AD604" s="222"/>
      <c r="AE604" s="222"/>
      <c r="AF604" s="222"/>
      <c r="AG604" s="222"/>
      <c r="AH604" s="222"/>
      <c r="AI604" s="222"/>
      <c r="AJ604" s="222"/>
      <c r="AK604" s="222"/>
      <c r="AL604" s="222"/>
      <c r="AM604" s="222"/>
      <c r="AN604" s="222"/>
      <c r="AO604" s="222"/>
      <c r="AP604" s="222"/>
      <c r="AQ604" s="222"/>
      <c r="AR604" s="222"/>
      <c r="AS604" s="222"/>
      <c r="AT604" s="222"/>
      <c r="AU604" s="222"/>
      <c r="AV604" s="222"/>
      <c r="AW604" s="222"/>
      <c r="AX604" s="222"/>
    </row>
    <row r="605" spans="1:50" ht="15.75" customHeight="1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  <c r="AC605" s="222"/>
      <c r="AD605" s="222"/>
      <c r="AE605" s="222"/>
      <c r="AF605" s="222"/>
      <c r="AG605" s="222"/>
      <c r="AH605" s="222"/>
      <c r="AI605" s="222"/>
      <c r="AJ605" s="222"/>
      <c r="AK605" s="222"/>
      <c r="AL605" s="222"/>
      <c r="AM605" s="222"/>
      <c r="AN605" s="222"/>
      <c r="AO605" s="222"/>
      <c r="AP605" s="222"/>
      <c r="AQ605" s="222"/>
      <c r="AR605" s="222"/>
      <c r="AS605" s="222"/>
      <c r="AT605" s="222"/>
      <c r="AU605" s="222"/>
      <c r="AV605" s="222"/>
      <c r="AW605" s="222"/>
      <c r="AX605" s="222"/>
    </row>
    <row r="606" spans="1:50" ht="15.75" customHeight="1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  <c r="AC606" s="222"/>
      <c r="AD606" s="222"/>
      <c r="AE606" s="222"/>
      <c r="AF606" s="222"/>
      <c r="AG606" s="222"/>
      <c r="AH606" s="222"/>
      <c r="AI606" s="222"/>
      <c r="AJ606" s="222"/>
      <c r="AK606" s="222"/>
      <c r="AL606" s="222"/>
      <c r="AM606" s="222"/>
      <c r="AN606" s="222"/>
      <c r="AO606" s="222"/>
      <c r="AP606" s="222"/>
      <c r="AQ606" s="222"/>
      <c r="AR606" s="222"/>
      <c r="AS606" s="222"/>
      <c r="AT606" s="222"/>
      <c r="AU606" s="222"/>
      <c r="AV606" s="222"/>
      <c r="AW606" s="222"/>
      <c r="AX606" s="222"/>
    </row>
    <row r="607" spans="1:50" ht="15.75" customHeight="1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  <c r="AC607" s="222"/>
      <c r="AD607" s="222"/>
      <c r="AE607" s="222"/>
      <c r="AF607" s="222"/>
      <c r="AG607" s="222"/>
      <c r="AH607" s="222"/>
      <c r="AI607" s="222"/>
      <c r="AJ607" s="222"/>
      <c r="AK607" s="222"/>
      <c r="AL607" s="222"/>
      <c r="AM607" s="222"/>
      <c r="AN607" s="222"/>
      <c r="AO607" s="222"/>
      <c r="AP607" s="222"/>
      <c r="AQ607" s="222"/>
      <c r="AR607" s="222"/>
      <c r="AS607" s="222"/>
      <c r="AT607" s="222"/>
      <c r="AU607" s="222"/>
      <c r="AV607" s="222"/>
      <c r="AW607" s="222"/>
      <c r="AX607" s="222"/>
    </row>
    <row r="608" spans="1:50" ht="15.75" customHeight="1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  <c r="AC608" s="222"/>
      <c r="AD608" s="222"/>
      <c r="AE608" s="222"/>
      <c r="AF608" s="222"/>
      <c r="AG608" s="222"/>
      <c r="AH608" s="222"/>
      <c r="AI608" s="222"/>
      <c r="AJ608" s="222"/>
      <c r="AK608" s="222"/>
      <c r="AL608" s="222"/>
      <c r="AM608" s="222"/>
      <c r="AN608" s="222"/>
      <c r="AO608" s="222"/>
      <c r="AP608" s="222"/>
      <c r="AQ608" s="222"/>
      <c r="AR608" s="222"/>
      <c r="AS608" s="222"/>
      <c r="AT608" s="222"/>
      <c r="AU608" s="222"/>
      <c r="AV608" s="222"/>
      <c r="AW608" s="222"/>
      <c r="AX608" s="222"/>
    </row>
    <row r="609" spans="1:50" ht="15.75" customHeight="1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2"/>
      <c r="AG609" s="222"/>
      <c r="AH609" s="222"/>
      <c r="AI609" s="222"/>
      <c r="AJ609" s="222"/>
      <c r="AK609" s="222"/>
      <c r="AL609" s="222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</row>
    <row r="610" spans="1:50" ht="15.75" customHeight="1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  <c r="AC610" s="222"/>
      <c r="AD610" s="222"/>
      <c r="AE610" s="222"/>
      <c r="AF610" s="222"/>
      <c r="AG610" s="222"/>
      <c r="AH610" s="222"/>
      <c r="AI610" s="222"/>
      <c r="AJ610" s="222"/>
      <c r="AK610" s="222"/>
      <c r="AL610" s="222"/>
      <c r="AM610" s="222"/>
      <c r="AN610" s="222"/>
      <c r="AO610" s="222"/>
      <c r="AP610" s="222"/>
      <c r="AQ610" s="222"/>
      <c r="AR610" s="222"/>
      <c r="AS610" s="222"/>
      <c r="AT610" s="222"/>
      <c r="AU610" s="222"/>
      <c r="AV610" s="222"/>
      <c r="AW610" s="222"/>
      <c r="AX610" s="222"/>
    </row>
    <row r="611" spans="1:50" ht="15.75" customHeight="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  <c r="AC611" s="222"/>
      <c r="AD611" s="222"/>
      <c r="AE611" s="222"/>
      <c r="AF611" s="222"/>
      <c r="AG611" s="222"/>
      <c r="AH611" s="222"/>
      <c r="AI611" s="222"/>
      <c r="AJ611" s="222"/>
      <c r="AK611" s="222"/>
      <c r="AL611" s="222"/>
      <c r="AM611" s="222"/>
      <c r="AN611" s="222"/>
      <c r="AO611" s="222"/>
      <c r="AP611" s="222"/>
      <c r="AQ611" s="222"/>
      <c r="AR611" s="222"/>
      <c r="AS611" s="222"/>
      <c r="AT611" s="222"/>
      <c r="AU611" s="222"/>
      <c r="AV611" s="222"/>
      <c r="AW611" s="222"/>
      <c r="AX611" s="222"/>
    </row>
    <row r="612" spans="1:50" ht="15.75" customHeight="1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  <c r="AC612" s="222"/>
      <c r="AD612" s="222"/>
      <c r="AE612" s="222"/>
      <c r="AF612" s="222"/>
      <c r="AG612" s="222"/>
      <c r="AH612" s="222"/>
      <c r="AI612" s="222"/>
      <c r="AJ612" s="222"/>
      <c r="AK612" s="222"/>
      <c r="AL612" s="222"/>
      <c r="AM612" s="222"/>
      <c r="AN612" s="222"/>
      <c r="AO612" s="222"/>
      <c r="AP612" s="222"/>
      <c r="AQ612" s="222"/>
      <c r="AR612" s="222"/>
      <c r="AS612" s="222"/>
      <c r="AT612" s="222"/>
      <c r="AU612" s="222"/>
      <c r="AV612" s="222"/>
      <c r="AW612" s="222"/>
      <c r="AX612" s="222"/>
    </row>
    <row r="613" spans="1:50" ht="15.75" customHeight="1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  <c r="AC613" s="222"/>
      <c r="AD613" s="222"/>
      <c r="AE613" s="222"/>
      <c r="AF613" s="222"/>
      <c r="AG613" s="222"/>
      <c r="AH613" s="222"/>
      <c r="AI613" s="222"/>
      <c r="AJ613" s="222"/>
      <c r="AK613" s="222"/>
      <c r="AL613" s="222"/>
      <c r="AM613" s="222"/>
      <c r="AN613" s="222"/>
      <c r="AO613" s="222"/>
      <c r="AP613" s="222"/>
      <c r="AQ613" s="222"/>
      <c r="AR613" s="222"/>
      <c r="AS613" s="222"/>
      <c r="AT613" s="222"/>
      <c r="AU613" s="222"/>
      <c r="AV613" s="222"/>
      <c r="AW613" s="222"/>
      <c r="AX613" s="222"/>
    </row>
    <row r="614" spans="1:50" ht="15.75" customHeight="1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  <c r="AM614" s="222"/>
      <c r="AN614" s="222"/>
      <c r="AO614" s="222"/>
      <c r="AP614" s="222"/>
      <c r="AQ614" s="222"/>
      <c r="AR614" s="222"/>
      <c r="AS614" s="222"/>
      <c r="AT614" s="222"/>
      <c r="AU614" s="222"/>
      <c r="AV614" s="222"/>
      <c r="AW614" s="222"/>
      <c r="AX614" s="222"/>
    </row>
    <row r="615" spans="1:50" ht="15.75" customHeight="1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  <c r="AC615" s="222"/>
      <c r="AD615" s="222"/>
      <c r="AE615" s="222"/>
      <c r="AF615" s="222"/>
      <c r="AG615" s="222"/>
      <c r="AH615" s="222"/>
      <c r="AI615" s="222"/>
      <c r="AJ615" s="222"/>
      <c r="AK615" s="222"/>
      <c r="AL615" s="222"/>
      <c r="AM615" s="222"/>
      <c r="AN615" s="222"/>
      <c r="AO615" s="222"/>
      <c r="AP615" s="222"/>
      <c r="AQ615" s="222"/>
      <c r="AR615" s="222"/>
      <c r="AS615" s="222"/>
      <c r="AT615" s="222"/>
      <c r="AU615" s="222"/>
      <c r="AV615" s="222"/>
      <c r="AW615" s="222"/>
      <c r="AX615" s="222"/>
    </row>
    <row r="616" spans="1:50" ht="15.75" customHeight="1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  <c r="AC616" s="222"/>
      <c r="AD616" s="222"/>
      <c r="AE616" s="222"/>
      <c r="AF616" s="222"/>
      <c r="AG616" s="222"/>
      <c r="AH616" s="222"/>
      <c r="AI616" s="222"/>
      <c r="AJ616" s="222"/>
      <c r="AK616" s="222"/>
      <c r="AL616" s="222"/>
      <c r="AM616" s="222"/>
      <c r="AN616" s="222"/>
      <c r="AO616" s="222"/>
      <c r="AP616" s="222"/>
      <c r="AQ616" s="222"/>
      <c r="AR616" s="222"/>
      <c r="AS616" s="222"/>
      <c r="AT616" s="222"/>
      <c r="AU616" s="222"/>
      <c r="AV616" s="222"/>
      <c r="AW616" s="222"/>
      <c r="AX616" s="222"/>
    </row>
    <row r="617" spans="1:50" ht="15.75" customHeight="1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  <c r="AC617" s="222"/>
      <c r="AD617" s="222"/>
      <c r="AE617" s="222"/>
      <c r="AF617" s="222"/>
      <c r="AG617" s="222"/>
      <c r="AH617" s="222"/>
      <c r="AI617" s="222"/>
      <c r="AJ617" s="222"/>
      <c r="AK617" s="222"/>
      <c r="AL617" s="222"/>
      <c r="AM617" s="222"/>
      <c r="AN617" s="222"/>
      <c r="AO617" s="222"/>
      <c r="AP617" s="222"/>
      <c r="AQ617" s="222"/>
      <c r="AR617" s="222"/>
      <c r="AS617" s="222"/>
      <c r="AT617" s="222"/>
      <c r="AU617" s="222"/>
      <c r="AV617" s="222"/>
      <c r="AW617" s="222"/>
      <c r="AX617" s="222"/>
    </row>
    <row r="618" spans="1:50" ht="15.75" customHeight="1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2"/>
      <c r="AE618" s="222"/>
      <c r="AF618" s="222"/>
      <c r="AG618" s="222"/>
      <c r="AH618" s="222"/>
      <c r="AI618" s="222"/>
      <c r="AJ618" s="222"/>
      <c r="AK618" s="222"/>
      <c r="AL618" s="222"/>
      <c r="AM618" s="222"/>
      <c r="AN618" s="222"/>
      <c r="AO618" s="222"/>
      <c r="AP618" s="222"/>
      <c r="AQ618" s="222"/>
      <c r="AR618" s="222"/>
      <c r="AS618" s="222"/>
      <c r="AT618" s="222"/>
      <c r="AU618" s="222"/>
      <c r="AV618" s="222"/>
      <c r="AW618" s="222"/>
      <c r="AX618" s="222"/>
    </row>
    <row r="619" spans="1:50" ht="15.75" customHeight="1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  <c r="AC619" s="222"/>
      <c r="AD619" s="222"/>
      <c r="AE619" s="222"/>
      <c r="AF619" s="222"/>
      <c r="AG619" s="222"/>
      <c r="AH619" s="222"/>
      <c r="AI619" s="222"/>
      <c r="AJ619" s="222"/>
      <c r="AK619" s="222"/>
      <c r="AL619" s="222"/>
      <c r="AM619" s="222"/>
      <c r="AN619" s="222"/>
      <c r="AO619" s="222"/>
      <c r="AP619" s="222"/>
      <c r="AQ619" s="222"/>
      <c r="AR619" s="222"/>
      <c r="AS619" s="222"/>
      <c r="AT619" s="222"/>
      <c r="AU619" s="222"/>
      <c r="AV619" s="222"/>
      <c r="AW619" s="222"/>
      <c r="AX619" s="222"/>
    </row>
    <row r="620" spans="1:50" ht="15.75" customHeight="1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  <c r="AC620" s="222"/>
      <c r="AD620" s="222"/>
      <c r="AE620" s="222"/>
      <c r="AF620" s="222"/>
      <c r="AG620" s="222"/>
      <c r="AH620" s="222"/>
      <c r="AI620" s="222"/>
      <c r="AJ620" s="222"/>
      <c r="AK620" s="222"/>
      <c r="AL620" s="222"/>
      <c r="AM620" s="222"/>
      <c r="AN620" s="222"/>
      <c r="AO620" s="222"/>
      <c r="AP620" s="222"/>
      <c r="AQ620" s="222"/>
      <c r="AR620" s="222"/>
      <c r="AS620" s="222"/>
      <c r="AT620" s="222"/>
      <c r="AU620" s="222"/>
      <c r="AV620" s="222"/>
      <c r="AW620" s="222"/>
      <c r="AX620" s="222"/>
    </row>
    <row r="621" spans="1:50" ht="15.75" customHeight="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  <c r="AC621" s="222"/>
      <c r="AD621" s="222"/>
      <c r="AE621" s="222"/>
      <c r="AF621" s="222"/>
      <c r="AG621" s="222"/>
      <c r="AH621" s="222"/>
      <c r="AI621" s="222"/>
      <c r="AJ621" s="222"/>
      <c r="AK621" s="222"/>
      <c r="AL621" s="222"/>
      <c r="AM621" s="222"/>
      <c r="AN621" s="222"/>
      <c r="AO621" s="222"/>
      <c r="AP621" s="222"/>
      <c r="AQ621" s="222"/>
      <c r="AR621" s="222"/>
      <c r="AS621" s="222"/>
      <c r="AT621" s="222"/>
      <c r="AU621" s="222"/>
      <c r="AV621" s="222"/>
      <c r="AW621" s="222"/>
      <c r="AX621" s="222"/>
    </row>
    <row r="622" spans="1:50" ht="15.75" customHeight="1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  <c r="AC622" s="222"/>
      <c r="AD622" s="222"/>
      <c r="AE622" s="222"/>
      <c r="AF622" s="222"/>
      <c r="AG622" s="222"/>
      <c r="AH622" s="222"/>
      <c r="AI622" s="222"/>
      <c r="AJ622" s="222"/>
      <c r="AK622" s="222"/>
      <c r="AL622" s="222"/>
      <c r="AM622" s="222"/>
      <c r="AN622" s="222"/>
      <c r="AO622" s="222"/>
      <c r="AP622" s="222"/>
      <c r="AQ622" s="222"/>
      <c r="AR622" s="222"/>
      <c r="AS622" s="222"/>
      <c r="AT622" s="222"/>
      <c r="AU622" s="222"/>
      <c r="AV622" s="222"/>
      <c r="AW622" s="222"/>
      <c r="AX622" s="222"/>
    </row>
    <row r="623" spans="1:50" ht="15.75" customHeight="1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  <c r="AC623" s="222"/>
      <c r="AD623" s="222"/>
      <c r="AE623" s="222"/>
      <c r="AF623" s="222"/>
      <c r="AG623" s="222"/>
      <c r="AH623" s="222"/>
      <c r="AI623" s="222"/>
      <c r="AJ623" s="222"/>
      <c r="AK623" s="222"/>
      <c r="AL623" s="222"/>
      <c r="AM623" s="222"/>
      <c r="AN623" s="222"/>
      <c r="AO623" s="222"/>
      <c r="AP623" s="222"/>
      <c r="AQ623" s="222"/>
      <c r="AR623" s="222"/>
      <c r="AS623" s="222"/>
      <c r="AT623" s="222"/>
      <c r="AU623" s="222"/>
      <c r="AV623" s="222"/>
      <c r="AW623" s="222"/>
      <c r="AX623" s="222"/>
    </row>
    <row r="624" spans="1:50" ht="15.75" customHeight="1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  <c r="AC624" s="222"/>
      <c r="AD624" s="222"/>
      <c r="AE624" s="222"/>
      <c r="AF624" s="222"/>
      <c r="AG624" s="222"/>
      <c r="AH624" s="222"/>
      <c r="AI624" s="222"/>
      <c r="AJ624" s="222"/>
      <c r="AK624" s="222"/>
      <c r="AL624" s="222"/>
      <c r="AM624" s="222"/>
      <c r="AN624" s="222"/>
      <c r="AO624" s="222"/>
      <c r="AP624" s="222"/>
      <c r="AQ624" s="222"/>
      <c r="AR624" s="222"/>
      <c r="AS624" s="222"/>
      <c r="AT624" s="222"/>
      <c r="AU624" s="222"/>
      <c r="AV624" s="222"/>
      <c r="AW624" s="222"/>
      <c r="AX624" s="222"/>
    </row>
    <row r="625" spans="1:50" ht="15.75" customHeight="1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  <c r="AC625" s="222"/>
      <c r="AD625" s="222"/>
      <c r="AE625" s="222"/>
      <c r="AF625" s="222"/>
      <c r="AG625" s="222"/>
      <c r="AH625" s="222"/>
      <c r="AI625" s="222"/>
      <c r="AJ625" s="222"/>
      <c r="AK625" s="222"/>
      <c r="AL625" s="222"/>
      <c r="AM625" s="222"/>
      <c r="AN625" s="222"/>
      <c r="AO625" s="222"/>
      <c r="AP625" s="222"/>
      <c r="AQ625" s="222"/>
      <c r="AR625" s="222"/>
      <c r="AS625" s="222"/>
      <c r="AT625" s="222"/>
      <c r="AU625" s="222"/>
      <c r="AV625" s="222"/>
      <c r="AW625" s="222"/>
      <c r="AX625" s="222"/>
    </row>
    <row r="626" spans="1:50" ht="15.75" customHeight="1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  <c r="AC626" s="222"/>
      <c r="AD626" s="222"/>
      <c r="AE626" s="222"/>
      <c r="AF626" s="222"/>
      <c r="AG626" s="222"/>
      <c r="AH626" s="222"/>
      <c r="AI626" s="222"/>
      <c r="AJ626" s="222"/>
      <c r="AK626" s="222"/>
      <c r="AL626" s="222"/>
      <c r="AM626" s="222"/>
      <c r="AN626" s="222"/>
      <c r="AO626" s="222"/>
      <c r="AP626" s="222"/>
      <c r="AQ626" s="222"/>
      <c r="AR626" s="222"/>
      <c r="AS626" s="222"/>
      <c r="AT626" s="222"/>
      <c r="AU626" s="222"/>
      <c r="AV626" s="222"/>
      <c r="AW626" s="222"/>
      <c r="AX626" s="222"/>
    </row>
    <row r="627" spans="1:50" ht="15.75" customHeight="1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  <c r="AC627" s="222"/>
      <c r="AD627" s="222"/>
      <c r="AE627" s="222"/>
      <c r="AF627" s="222"/>
      <c r="AG627" s="222"/>
      <c r="AH627" s="222"/>
      <c r="AI627" s="222"/>
      <c r="AJ627" s="222"/>
      <c r="AK627" s="222"/>
      <c r="AL627" s="222"/>
      <c r="AM627" s="222"/>
      <c r="AN627" s="222"/>
      <c r="AO627" s="222"/>
      <c r="AP627" s="222"/>
      <c r="AQ627" s="222"/>
      <c r="AR627" s="222"/>
      <c r="AS627" s="222"/>
      <c r="AT627" s="222"/>
      <c r="AU627" s="222"/>
      <c r="AV627" s="222"/>
      <c r="AW627" s="222"/>
      <c r="AX627" s="222"/>
    </row>
    <row r="628" spans="1:50" ht="15.75" customHeight="1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  <c r="AC628" s="222"/>
      <c r="AD628" s="222"/>
      <c r="AE628" s="222"/>
      <c r="AF628" s="222"/>
      <c r="AG628" s="222"/>
      <c r="AH628" s="222"/>
      <c r="AI628" s="222"/>
      <c r="AJ628" s="222"/>
      <c r="AK628" s="222"/>
      <c r="AL628" s="222"/>
      <c r="AM628" s="222"/>
      <c r="AN628" s="222"/>
      <c r="AO628" s="222"/>
      <c r="AP628" s="222"/>
      <c r="AQ628" s="222"/>
      <c r="AR628" s="222"/>
      <c r="AS628" s="222"/>
      <c r="AT628" s="222"/>
      <c r="AU628" s="222"/>
      <c r="AV628" s="222"/>
      <c r="AW628" s="222"/>
      <c r="AX628" s="222"/>
    </row>
    <row r="629" spans="1:50" ht="15.75" customHeight="1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  <c r="AC629" s="222"/>
      <c r="AD629" s="222"/>
      <c r="AE629" s="222"/>
      <c r="AF629" s="222"/>
      <c r="AG629" s="222"/>
      <c r="AH629" s="222"/>
      <c r="AI629" s="222"/>
      <c r="AJ629" s="222"/>
      <c r="AK629" s="222"/>
      <c r="AL629" s="222"/>
      <c r="AM629" s="222"/>
      <c r="AN629" s="222"/>
      <c r="AO629" s="222"/>
      <c r="AP629" s="222"/>
      <c r="AQ629" s="222"/>
      <c r="AR629" s="222"/>
      <c r="AS629" s="222"/>
      <c r="AT629" s="222"/>
      <c r="AU629" s="222"/>
      <c r="AV629" s="222"/>
      <c r="AW629" s="222"/>
      <c r="AX629" s="222"/>
    </row>
    <row r="630" spans="1:50" ht="15.75" customHeight="1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  <c r="AC630" s="222"/>
      <c r="AD630" s="222"/>
      <c r="AE630" s="222"/>
      <c r="AF630" s="222"/>
      <c r="AG630" s="222"/>
      <c r="AH630" s="222"/>
      <c r="AI630" s="222"/>
      <c r="AJ630" s="222"/>
      <c r="AK630" s="222"/>
      <c r="AL630" s="222"/>
      <c r="AM630" s="222"/>
      <c r="AN630" s="222"/>
      <c r="AO630" s="222"/>
      <c r="AP630" s="222"/>
      <c r="AQ630" s="222"/>
      <c r="AR630" s="222"/>
      <c r="AS630" s="222"/>
      <c r="AT630" s="222"/>
      <c r="AU630" s="222"/>
      <c r="AV630" s="222"/>
      <c r="AW630" s="222"/>
      <c r="AX630" s="222"/>
    </row>
    <row r="631" spans="1:50" ht="15.75" customHeight="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  <c r="AC631" s="222"/>
      <c r="AD631" s="222"/>
      <c r="AE631" s="222"/>
      <c r="AF631" s="222"/>
      <c r="AG631" s="222"/>
      <c r="AH631" s="222"/>
      <c r="AI631" s="222"/>
      <c r="AJ631" s="222"/>
      <c r="AK631" s="222"/>
      <c r="AL631" s="222"/>
      <c r="AM631" s="222"/>
      <c r="AN631" s="222"/>
      <c r="AO631" s="222"/>
      <c r="AP631" s="222"/>
      <c r="AQ631" s="222"/>
      <c r="AR631" s="222"/>
      <c r="AS631" s="222"/>
      <c r="AT631" s="222"/>
      <c r="AU631" s="222"/>
      <c r="AV631" s="222"/>
      <c r="AW631" s="222"/>
      <c r="AX631" s="222"/>
    </row>
    <row r="632" spans="1:50" ht="15.75" customHeight="1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  <c r="AC632" s="222"/>
      <c r="AD632" s="222"/>
      <c r="AE632" s="222"/>
      <c r="AF632" s="222"/>
      <c r="AG632" s="222"/>
      <c r="AH632" s="222"/>
      <c r="AI632" s="222"/>
      <c r="AJ632" s="222"/>
      <c r="AK632" s="222"/>
      <c r="AL632" s="222"/>
      <c r="AM632" s="222"/>
      <c r="AN632" s="222"/>
      <c r="AO632" s="222"/>
      <c r="AP632" s="222"/>
      <c r="AQ632" s="222"/>
      <c r="AR632" s="222"/>
      <c r="AS632" s="222"/>
      <c r="AT632" s="222"/>
      <c r="AU632" s="222"/>
      <c r="AV632" s="222"/>
      <c r="AW632" s="222"/>
      <c r="AX632" s="222"/>
    </row>
    <row r="633" spans="1:50" ht="15.75" customHeight="1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  <c r="AC633" s="222"/>
      <c r="AD633" s="222"/>
      <c r="AE633" s="222"/>
      <c r="AF633" s="222"/>
      <c r="AG633" s="222"/>
      <c r="AH633" s="222"/>
      <c r="AI633" s="222"/>
      <c r="AJ633" s="222"/>
      <c r="AK633" s="222"/>
      <c r="AL633" s="222"/>
      <c r="AM633" s="222"/>
      <c r="AN633" s="222"/>
      <c r="AO633" s="222"/>
      <c r="AP633" s="222"/>
      <c r="AQ633" s="222"/>
      <c r="AR633" s="222"/>
      <c r="AS633" s="222"/>
      <c r="AT633" s="222"/>
      <c r="AU633" s="222"/>
      <c r="AV633" s="222"/>
      <c r="AW633" s="222"/>
      <c r="AX633" s="222"/>
    </row>
    <row r="634" spans="1:50" ht="15.75" customHeight="1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  <c r="AC634" s="222"/>
      <c r="AD634" s="222"/>
      <c r="AE634" s="222"/>
      <c r="AF634" s="222"/>
      <c r="AG634" s="222"/>
      <c r="AH634" s="222"/>
      <c r="AI634" s="222"/>
      <c r="AJ634" s="222"/>
      <c r="AK634" s="222"/>
      <c r="AL634" s="222"/>
      <c r="AM634" s="222"/>
      <c r="AN634" s="222"/>
      <c r="AO634" s="222"/>
      <c r="AP634" s="222"/>
      <c r="AQ634" s="222"/>
      <c r="AR634" s="222"/>
      <c r="AS634" s="222"/>
      <c r="AT634" s="222"/>
      <c r="AU634" s="222"/>
      <c r="AV634" s="222"/>
      <c r="AW634" s="222"/>
      <c r="AX634" s="222"/>
    </row>
    <row r="635" spans="1:50" ht="15.75" customHeight="1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  <c r="AC635" s="222"/>
      <c r="AD635" s="222"/>
      <c r="AE635" s="222"/>
      <c r="AF635" s="222"/>
      <c r="AG635" s="222"/>
      <c r="AH635" s="222"/>
      <c r="AI635" s="222"/>
      <c r="AJ635" s="222"/>
      <c r="AK635" s="222"/>
      <c r="AL635" s="222"/>
      <c r="AM635" s="222"/>
      <c r="AN635" s="222"/>
      <c r="AO635" s="222"/>
      <c r="AP635" s="222"/>
      <c r="AQ635" s="222"/>
      <c r="AR635" s="222"/>
      <c r="AS635" s="222"/>
      <c r="AT635" s="222"/>
      <c r="AU635" s="222"/>
      <c r="AV635" s="222"/>
      <c r="AW635" s="222"/>
      <c r="AX635" s="222"/>
    </row>
    <row r="636" spans="1:50" ht="15.75" customHeight="1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2"/>
      <c r="AG636" s="222"/>
      <c r="AH636" s="222"/>
      <c r="AI636" s="222"/>
      <c r="AJ636" s="222"/>
      <c r="AK636" s="222"/>
      <c r="AL636" s="222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</row>
    <row r="637" spans="1:50" ht="15.75" customHeight="1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  <c r="AC637" s="222"/>
      <c r="AD637" s="222"/>
      <c r="AE637" s="222"/>
      <c r="AF637" s="222"/>
      <c r="AG637" s="222"/>
      <c r="AH637" s="222"/>
      <c r="AI637" s="222"/>
      <c r="AJ637" s="222"/>
      <c r="AK637" s="222"/>
      <c r="AL637" s="222"/>
      <c r="AM637" s="222"/>
      <c r="AN637" s="222"/>
      <c r="AO637" s="222"/>
      <c r="AP637" s="222"/>
      <c r="AQ637" s="222"/>
      <c r="AR637" s="222"/>
      <c r="AS637" s="222"/>
      <c r="AT637" s="222"/>
      <c r="AU637" s="222"/>
      <c r="AV637" s="222"/>
      <c r="AW637" s="222"/>
      <c r="AX637" s="222"/>
    </row>
    <row r="638" spans="1:50" ht="15.75" customHeight="1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  <c r="AC638" s="222"/>
      <c r="AD638" s="222"/>
      <c r="AE638" s="222"/>
      <c r="AF638" s="222"/>
      <c r="AG638" s="222"/>
      <c r="AH638" s="222"/>
      <c r="AI638" s="222"/>
      <c r="AJ638" s="222"/>
      <c r="AK638" s="222"/>
      <c r="AL638" s="222"/>
      <c r="AM638" s="222"/>
      <c r="AN638" s="222"/>
      <c r="AO638" s="222"/>
      <c r="AP638" s="222"/>
      <c r="AQ638" s="222"/>
      <c r="AR638" s="222"/>
      <c r="AS638" s="222"/>
      <c r="AT638" s="222"/>
      <c r="AU638" s="222"/>
      <c r="AV638" s="222"/>
      <c r="AW638" s="222"/>
      <c r="AX638" s="222"/>
    </row>
    <row r="639" spans="1:50" ht="15.75" customHeight="1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  <c r="AC639" s="222"/>
      <c r="AD639" s="222"/>
      <c r="AE639" s="222"/>
      <c r="AF639" s="222"/>
      <c r="AG639" s="222"/>
      <c r="AH639" s="222"/>
      <c r="AI639" s="222"/>
      <c r="AJ639" s="222"/>
      <c r="AK639" s="222"/>
      <c r="AL639" s="222"/>
      <c r="AM639" s="222"/>
      <c r="AN639" s="222"/>
      <c r="AO639" s="222"/>
      <c r="AP639" s="222"/>
      <c r="AQ639" s="222"/>
      <c r="AR639" s="222"/>
      <c r="AS639" s="222"/>
      <c r="AT639" s="222"/>
      <c r="AU639" s="222"/>
      <c r="AV639" s="222"/>
      <c r="AW639" s="222"/>
      <c r="AX639" s="222"/>
    </row>
    <row r="640" spans="1:50" ht="15.75" customHeight="1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  <c r="AC640" s="222"/>
      <c r="AD640" s="222"/>
      <c r="AE640" s="222"/>
      <c r="AF640" s="222"/>
      <c r="AG640" s="222"/>
      <c r="AH640" s="222"/>
      <c r="AI640" s="222"/>
      <c r="AJ640" s="222"/>
      <c r="AK640" s="222"/>
      <c r="AL640" s="222"/>
      <c r="AM640" s="222"/>
      <c r="AN640" s="222"/>
      <c r="AO640" s="222"/>
      <c r="AP640" s="222"/>
      <c r="AQ640" s="222"/>
      <c r="AR640" s="222"/>
      <c r="AS640" s="222"/>
      <c r="AT640" s="222"/>
      <c r="AU640" s="222"/>
      <c r="AV640" s="222"/>
      <c r="AW640" s="222"/>
      <c r="AX640" s="222"/>
    </row>
    <row r="641" spans="1:50" ht="15.75" customHeight="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  <c r="AC641" s="222"/>
      <c r="AD641" s="222"/>
      <c r="AE641" s="222"/>
      <c r="AF641" s="222"/>
      <c r="AG641" s="222"/>
      <c r="AH641" s="222"/>
      <c r="AI641" s="222"/>
      <c r="AJ641" s="222"/>
      <c r="AK641" s="222"/>
      <c r="AL641" s="222"/>
      <c r="AM641" s="222"/>
      <c r="AN641" s="222"/>
      <c r="AO641" s="222"/>
      <c r="AP641" s="222"/>
      <c r="AQ641" s="222"/>
      <c r="AR641" s="222"/>
      <c r="AS641" s="222"/>
      <c r="AT641" s="222"/>
      <c r="AU641" s="222"/>
      <c r="AV641" s="222"/>
      <c r="AW641" s="222"/>
      <c r="AX641" s="222"/>
    </row>
    <row r="642" spans="1:50" ht="15.75" customHeight="1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  <c r="AC642" s="222"/>
      <c r="AD642" s="222"/>
      <c r="AE642" s="222"/>
      <c r="AF642" s="222"/>
      <c r="AG642" s="222"/>
      <c r="AH642" s="222"/>
      <c r="AI642" s="222"/>
      <c r="AJ642" s="222"/>
      <c r="AK642" s="222"/>
      <c r="AL642" s="222"/>
      <c r="AM642" s="222"/>
      <c r="AN642" s="222"/>
      <c r="AO642" s="222"/>
      <c r="AP642" s="222"/>
      <c r="AQ642" s="222"/>
      <c r="AR642" s="222"/>
      <c r="AS642" s="222"/>
      <c r="AT642" s="222"/>
      <c r="AU642" s="222"/>
      <c r="AV642" s="222"/>
      <c r="AW642" s="222"/>
      <c r="AX642" s="222"/>
    </row>
    <row r="643" spans="1:50" ht="15.75" customHeight="1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  <c r="AC643" s="222"/>
      <c r="AD643" s="222"/>
      <c r="AE643" s="222"/>
      <c r="AF643" s="222"/>
      <c r="AG643" s="222"/>
      <c r="AH643" s="222"/>
      <c r="AI643" s="222"/>
      <c r="AJ643" s="222"/>
      <c r="AK643" s="222"/>
      <c r="AL643" s="222"/>
      <c r="AM643" s="222"/>
      <c r="AN643" s="222"/>
      <c r="AO643" s="222"/>
      <c r="AP643" s="222"/>
      <c r="AQ643" s="222"/>
      <c r="AR643" s="222"/>
      <c r="AS643" s="222"/>
      <c r="AT643" s="222"/>
      <c r="AU643" s="222"/>
      <c r="AV643" s="222"/>
      <c r="AW643" s="222"/>
      <c r="AX643" s="222"/>
    </row>
    <row r="644" spans="1:50" ht="15.75" customHeight="1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  <c r="AC644" s="222"/>
      <c r="AD644" s="222"/>
      <c r="AE644" s="222"/>
      <c r="AF644" s="222"/>
      <c r="AG644" s="222"/>
      <c r="AH644" s="222"/>
      <c r="AI644" s="222"/>
      <c r="AJ644" s="222"/>
      <c r="AK644" s="222"/>
      <c r="AL644" s="222"/>
      <c r="AM644" s="222"/>
      <c r="AN644" s="222"/>
      <c r="AO644" s="222"/>
      <c r="AP644" s="222"/>
      <c r="AQ644" s="222"/>
      <c r="AR644" s="222"/>
      <c r="AS644" s="222"/>
      <c r="AT644" s="222"/>
      <c r="AU644" s="222"/>
      <c r="AV644" s="222"/>
      <c r="AW644" s="222"/>
      <c r="AX644" s="222"/>
    </row>
    <row r="645" spans="1:50" ht="15.75" customHeight="1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  <c r="AM645" s="222"/>
      <c r="AN645" s="222"/>
      <c r="AO645" s="222"/>
      <c r="AP645" s="222"/>
      <c r="AQ645" s="222"/>
      <c r="AR645" s="222"/>
      <c r="AS645" s="222"/>
      <c r="AT645" s="222"/>
      <c r="AU645" s="222"/>
      <c r="AV645" s="222"/>
      <c r="AW645" s="222"/>
      <c r="AX645" s="222"/>
    </row>
    <row r="646" spans="1:50" ht="15.75" customHeight="1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  <c r="AC646" s="222"/>
      <c r="AD646" s="222"/>
      <c r="AE646" s="222"/>
      <c r="AF646" s="222"/>
      <c r="AG646" s="222"/>
      <c r="AH646" s="222"/>
      <c r="AI646" s="222"/>
      <c r="AJ646" s="222"/>
      <c r="AK646" s="222"/>
      <c r="AL646" s="222"/>
      <c r="AM646" s="222"/>
      <c r="AN646" s="222"/>
      <c r="AO646" s="222"/>
      <c r="AP646" s="222"/>
      <c r="AQ646" s="222"/>
      <c r="AR646" s="222"/>
      <c r="AS646" s="222"/>
      <c r="AT646" s="222"/>
      <c r="AU646" s="222"/>
      <c r="AV646" s="222"/>
      <c r="AW646" s="222"/>
      <c r="AX646" s="222"/>
    </row>
    <row r="647" spans="1:50" ht="15.75" customHeight="1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  <c r="AC647" s="222"/>
      <c r="AD647" s="222"/>
      <c r="AE647" s="222"/>
      <c r="AF647" s="222"/>
      <c r="AG647" s="222"/>
      <c r="AH647" s="222"/>
      <c r="AI647" s="222"/>
      <c r="AJ647" s="222"/>
      <c r="AK647" s="222"/>
      <c r="AL647" s="222"/>
      <c r="AM647" s="222"/>
      <c r="AN647" s="222"/>
      <c r="AO647" s="222"/>
      <c r="AP647" s="222"/>
      <c r="AQ647" s="222"/>
      <c r="AR647" s="222"/>
      <c r="AS647" s="222"/>
      <c r="AT647" s="222"/>
      <c r="AU647" s="222"/>
      <c r="AV647" s="222"/>
      <c r="AW647" s="222"/>
      <c r="AX647" s="222"/>
    </row>
    <row r="648" spans="1:50" ht="15.75" customHeight="1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  <c r="AC648" s="222"/>
      <c r="AD648" s="222"/>
      <c r="AE648" s="222"/>
      <c r="AF648" s="222"/>
      <c r="AG648" s="222"/>
      <c r="AH648" s="222"/>
      <c r="AI648" s="222"/>
      <c r="AJ648" s="222"/>
      <c r="AK648" s="222"/>
      <c r="AL648" s="222"/>
      <c r="AM648" s="222"/>
      <c r="AN648" s="222"/>
      <c r="AO648" s="222"/>
      <c r="AP648" s="222"/>
      <c r="AQ648" s="222"/>
      <c r="AR648" s="222"/>
      <c r="AS648" s="222"/>
      <c r="AT648" s="222"/>
      <c r="AU648" s="222"/>
      <c r="AV648" s="222"/>
      <c r="AW648" s="222"/>
      <c r="AX648" s="222"/>
    </row>
    <row r="649" spans="1:50" ht="15.75" customHeight="1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  <c r="AC649" s="222"/>
      <c r="AD649" s="222"/>
      <c r="AE649" s="222"/>
      <c r="AF649" s="222"/>
      <c r="AG649" s="222"/>
      <c r="AH649" s="222"/>
      <c r="AI649" s="222"/>
      <c r="AJ649" s="222"/>
      <c r="AK649" s="222"/>
      <c r="AL649" s="222"/>
      <c r="AM649" s="222"/>
      <c r="AN649" s="222"/>
      <c r="AO649" s="222"/>
      <c r="AP649" s="222"/>
      <c r="AQ649" s="222"/>
      <c r="AR649" s="222"/>
      <c r="AS649" s="222"/>
      <c r="AT649" s="222"/>
      <c r="AU649" s="222"/>
      <c r="AV649" s="222"/>
      <c r="AW649" s="222"/>
      <c r="AX649" s="222"/>
    </row>
    <row r="650" spans="1:50" ht="15.75" customHeight="1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  <c r="AC650" s="222"/>
      <c r="AD650" s="222"/>
      <c r="AE650" s="222"/>
      <c r="AF650" s="222"/>
      <c r="AG650" s="222"/>
      <c r="AH650" s="222"/>
      <c r="AI650" s="222"/>
      <c r="AJ650" s="222"/>
      <c r="AK650" s="222"/>
      <c r="AL650" s="222"/>
      <c r="AM650" s="222"/>
      <c r="AN650" s="222"/>
      <c r="AO650" s="222"/>
      <c r="AP650" s="222"/>
      <c r="AQ650" s="222"/>
      <c r="AR650" s="222"/>
      <c r="AS650" s="222"/>
      <c r="AT650" s="222"/>
      <c r="AU650" s="222"/>
      <c r="AV650" s="222"/>
      <c r="AW650" s="222"/>
      <c r="AX650" s="222"/>
    </row>
    <row r="651" spans="1:50" ht="15.75" customHeight="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  <c r="AC651" s="222"/>
      <c r="AD651" s="222"/>
      <c r="AE651" s="222"/>
      <c r="AF651" s="222"/>
      <c r="AG651" s="222"/>
      <c r="AH651" s="222"/>
      <c r="AI651" s="222"/>
      <c r="AJ651" s="222"/>
      <c r="AK651" s="222"/>
      <c r="AL651" s="222"/>
      <c r="AM651" s="222"/>
      <c r="AN651" s="222"/>
      <c r="AO651" s="222"/>
      <c r="AP651" s="222"/>
      <c r="AQ651" s="222"/>
      <c r="AR651" s="222"/>
      <c r="AS651" s="222"/>
      <c r="AT651" s="222"/>
      <c r="AU651" s="222"/>
      <c r="AV651" s="222"/>
      <c r="AW651" s="222"/>
      <c r="AX651" s="222"/>
    </row>
    <row r="652" spans="1:50" ht="15.75" customHeight="1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  <c r="AC652" s="222"/>
      <c r="AD652" s="222"/>
      <c r="AE652" s="222"/>
      <c r="AF652" s="222"/>
      <c r="AG652" s="222"/>
      <c r="AH652" s="222"/>
      <c r="AI652" s="222"/>
      <c r="AJ652" s="222"/>
      <c r="AK652" s="222"/>
      <c r="AL652" s="222"/>
      <c r="AM652" s="222"/>
      <c r="AN652" s="222"/>
      <c r="AO652" s="222"/>
      <c r="AP652" s="222"/>
      <c r="AQ652" s="222"/>
      <c r="AR652" s="222"/>
      <c r="AS652" s="222"/>
      <c r="AT652" s="222"/>
      <c r="AU652" s="222"/>
      <c r="AV652" s="222"/>
      <c r="AW652" s="222"/>
      <c r="AX652" s="222"/>
    </row>
    <row r="653" spans="1:50" ht="15.75" customHeight="1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  <c r="AC653" s="222"/>
      <c r="AD653" s="222"/>
      <c r="AE653" s="222"/>
      <c r="AF653" s="222"/>
      <c r="AG653" s="222"/>
      <c r="AH653" s="222"/>
      <c r="AI653" s="222"/>
      <c r="AJ653" s="222"/>
      <c r="AK653" s="222"/>
      <c r="AL653" s="222"/>
      <c r="AM653" s="222"/>
      <c r="AN653" s="222"/>
      <c r="AO653" s="222"/>
      <c r="AP653" s="222"/>
      <c r="AQ653" s="222"/>
      <c r="AR653" s="222"/>
      <c r="AS653" s="222"/>
      <c r="AT653" s="222"/>
      <c r="AU653" s="222"/>
      <c r="AV653" s="222"/>
      <c r="AW653" s="222"/>
      <c r="AX653" s="222"/>
    </row>
    <row r="654" spans="1:50" ht="15.75" customHeight="1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  <c r="AC654" s="222"/>
      <c r="AD654" s="222"/>
      <c r="AE654" s="222"/>
      <c r="AF654" s="222"/>
      <c r="AG654" s="222"/>
      <c r="AH654" s="222"/>
      <c r="AI654" s="222"/>
      <c r="AJ654" s="222"/>
      <c r="AK654" s="222"/>
      <c r="AL654" s="222"/>
      <c r="AM654" s="222"/>
      <c r="AN654" s="222"/>
      <c r="AO654" s="222"/>
      <c r="AP654" s="222"/>
      <c r="AQ654" s="222"/>
      <c r="AR654" s="222"/>
      <c r="AS654" s="222"/>
      <c r="AT654" s="222"/>
      <c r="AU654" s="222"/>
      <c r="AV654" s="222"/>
      <c r="AW654" s="222"/>
      <c r="AX654" s="222"/>
    </row>
    <row r="655" spans="1:50" ht="15.75" customHeight="1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  <c r="AC655" s="222"/>
      <c r="AD655" s="222"/>
      <c r="AE655" s="222"/>
      <c r="AF655" s="222"/>
      <c r="AG655" s="222"/>
      <c r="AH655" s="222"/>
      <c r="AI655" s="222"/>
      <c r="AJ655" s="222"/>
      <c r="AK655" s="222"/>
      <c r="AL655" s="222"/>
      <c r="AM655" s="222"/>
      <c r="AN655" s="222"/>
      <c r="AO655" s="222"/>
      <c r="AP655" s="222"/>
      <c r="AQ655" s="222"/>
      <c r="AR655" s="222"/>
      <c r="AS655" s="222"/>
      <c r="AT655" s="222"/>
      <c r="AU655" s="222"/>
      <c r="AV655" s="222"/>
      <c r="AW655" s="222"/>
      <c r="AX655" s="222"/>
    </row>
    <row r="656" spans="1:50" ht="15.75" customHeight="1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  <c r="AC656" s="222"/>
      <c r="AD656" s="222"/>
      <c r="AE656" s="222"/>
      <c r="AF656" s="222"/>
      <c r="AG656" s="222"/>
      <c r="AH656" s="222"/>
      <c r="AI656" s="222"/>
      <c r="AJ656" s="222"/>
      <c r="AK656" s="222"/>
      <c r="AL656" s="222"/>
      <c r="AM656" s="222"/>
      <c r="AN656" s="222"/>
      <c r="AO656" s="222"/>
      <c r="AP656" s="222"/>
      <c r="AQ656" s="222"/>
      <c r="AR656" s="222"/>
      <c r="AS656" s="222"/>
      <c r="AT656" s="222"/>
      <c r="AU656" s="222"/>
      <c r="AV656" s="222"/>
      <c r="AW656" s="222"/>
      <c r="AX656" s="222"/>
    </row>
    <row r="657" spans="1:50" ht="15.75" customHeight="1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  <c r="AC657" s="222"/>
      <c r="AD657" s="222"/>
      <c r="AE657" s="222"/>
      <c r="AF657" s="222"/>
      <c r="AG657" s="222"/>
      <c r="AH657" s="222"/>
      <c r="AI657" s="222"/>
      <c r="AJ657" s="222"/>
      <c r="AK657" s="222"/>
      <c r="AL657" s="222"/>
      <c r="AM657" s="222"/>
      <c r="AN657" s="222"/>
      <c r="AO657" s="222"/>
      <c r="AP657" s="222"/>
      <c r="AQ657" s="222"/>
      <c r="AR657" s="222"/>
      <c r="AS657" s="222"/>
      <c r="AT657" s="222"/>
      <c r="AU657" s="222"/>
      <c r="AV657" s="222"/>
      <c r="AW657" s="222"/>
      <c r="AX657" s="222"/>
    </row>
    <row r="658" spans="1:50" ht="15.75" customHeight="1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  <c r="AC658" s="222"/>
      <c r="AD658" s="222"/>
      <c r="AE658" s="222"/>
      <c r="AF658" s="222"/>
      <c r="AG658" s="222"/>
      <c r="AH658" s="222"/>
      <c r="AI658" s="222"/>
      <c r="AJ658" s="222"/>
      <c r="AK658" s="222"/>
      <c r="AL658" s="222"/>
      <c r="AM658" s="222"/>
      <c r="AN658" s="222"/>
      <c r="AO658" s="222"/>
      <c r="AP658" s="222"/>
      <c r="AQ658" s="222"/>
      <c r="AR658" s="222"/>
      <c r="AS658" s="222"/>
      <c r="AT658" s="222"/>
      <c r="AU658" s="222"/>
      <c r="AV658" s="222"/>
      <c r="AW658" s="222"/>
      <c r="AX658" s="222"/>
    </row>
    <row r="659" spans="1:50" ht="15.75" customHeight="1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  <c r="AC659" s="222"/>
      <c r="AD659" s="222"/>
      <c r="AE659" s="222"/>
      <c r="AF659" s="222"/>
      <c r="AG659" s="222"/>
      <c r="AH659" s="222"/>
      <c r="AI659" s="222"/>
      <c r="AJ659" s="222"/>
      <c r="AK659" s="222"/>
      <c r="AL659" s="222"/>
      <c r="AM659" s="222"/>
      <c r="AN659" s="222"/>
      <c r="AO659" s="222"/>
      <c r="AP659" s="222"/>
      <c r="AQ659" s="222"/>
      <c r="AR659" s="222"/>
      <c r="AS659" s="222"/>
      <c r="AT659" s="222"/>
      <c r="AU659" s="222"/>
      <c r="AV659" s="222"/>
      <c r="AW659" s="222"/>
      <c r="AX659" s="222"/>
    </row>
    <row r="660" spans="1:50" ht="15.75" customHeight="1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  <c r="AC660" s="222"/>
      <c r="AD660" s="222"/>
      <c r="AE660" s="222"/>
      <c r="AF660" s="222"/>
      <c r="AG660" s="222"/>
      <c r="AH660" s="222"/>
      <c r="AI660" s="222"/>
      <c r="AJ660" s="222"/>
      <c r="AK660" s="222"/>
      <c r="AL660" s="222"/>
      <c r="AM660" s="222"/>
      <c r="AN660" s="222"/>
      <c r="AO660" s="222"/>
      <c r="AP660" s="222"/>
      <c r="AQ660" s="222"/>
      <c r="AR660" s="222"/>
      <c r="AS660" s="222"/>
      <c r="AT660" s="222"/>
      <c r="AU660" s="222"/>
      <c r="AV660" s="222"/>
      <c r="AW660" s="222"/>
      <c r="AX660" s="222"/>
    </row>
    <row r="661" spans="1:50" ht="15.75" customHeight="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  <c r="AC661" s="222"/>
      <c r="AD661" s="222"/>
      <c r="AE661" s="222"/>
      <c r="AF661" s="222"/>
      <c r="AG661" s="222"/>
      <c r="AH661" s="222"/>
      <c r="AI661" s="222"/>
      <c r="AJ661" s="222"/>
      <c r="AK661" s="222"/>
      <c r="AL661" s="222"/>
      <c r="AM661" s="222"/>
      <c r="AN661" s="222"/>
      <c r="AO661" s="222"/>
      <c r="AP661" s="222"/>
      <c r="AQ661" s="222"/>
      <c r="AR661" s="222"/>
      <c r="AS661" s="222"/>
      <c r="AT661" s="222"/>
      <c r="AU661" s="222"/>
      <c r="AV661" s="222"/>
      <c r="AW661" s="222"/>
      <c r="AX661" s="222"/>
    </row>
    <row r="662" spans="1:50" ht="15.75" customHeight="1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  <c r="AC662" s="222"/>
      <c r="AD662" s="222"/>
      <c r="AE662" s="222"/>
      <c r="AF662" s="222"/>
      <c r="AG662" s="222"/>
      <c r="AH662" s="222"/>
      <c r="AI662" s="222"/>
      <c r="AJ662" s="222"/>
      <c r="AK662" s="222"/>
      <c r="AL662" s="222"/>
      <c r="AM662" s="222"/>
      <c r="AN662" s="222"/>
      <c r="AO662" s="222"/>
      <c r="AP662" s="222"/>
      <c r="AQ662" s="222"/>
      <c r="AR662" s="222"/>
      <c r="AS662" s="222"/>
      <c r="AT662" s="222"/>
      <c r="AU662" s="222"/>
      <c r="AV662" s="222"/>
      <c r="AW662" s="222"/>
      <c r="AX662" s="222"/>
    </row>
    <row r="663" spans="1:50" ht="15.75" customHeight="1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  <c r="AC663" s="222"/>
      <c r="AD663" s="222"/>
      <c r="AE663" s="222"/>
      <c r="AF663" s="222"/>
      <c r="AG663" s="222"/>
      <c r="AH663" s="222"/>
      <c r="AI663" s="222"/>
      <c r="AJ663" s="222"/>
      <c r="AK663" s="222"/>
      <c r="AL663" s="222"/>
      <c r="AM663" s="222"/>
      <c r="AN663" s="222"/>
      <c r="AO663" s="222"/>
      <c r="AP663" s="222"/>
      <c r="AQ663" s="222"/>
      <c r="AR663" s="222"/>
      <c r="AS663" s="222"/>
      <c r="AT663" s="222"/>
      <c r="AU663" s="222"/>
      <c r="AV663" s="222"/>
      <c r="AW663" s="222"/>
      <c r="AX663" s="222"/>
    </row>
    <row r="664" spans="1:50" ht="15.75" customHeight="1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  <c r="AC664" s="222"/>
      <c r="AD664" s="222"/>
      <c r="AE664" s="222"/>
      <c r="AF664" s="222"/>
      <c r="AG664" s="222"/>
      <c r="AH664" s="222"/>
      <c r="AI664" s="222"/>
      <c r="AJ664" s="222"/>
      <c r="AK664" s="222"/>
      <c r="AL664" s="222"/>
      <c r="AM664" s="222"/>
      <c r="AN664" s="222"/>
      <c r="AO664" s="222"/>
      <c r="AP664" s="222"/>
      <c r="AQ664" s="222"/>
      <c r="AR664" s="222"/>
      <c r="AS664" s="222"/>
      <c r="AT664" s="222"/>
      <c r="AU664" s="222"/>
      <c r="AV664" s="222"/>
      <c r="AW664" s="222"/>
      <c r="AX664" s="222"/>
    </row>
    <row r="665" spans="1:50" ht="15.75" customHeight="1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  <c r="AC665" s="222"/>
      <c r="AD665" s="222"/>
      <c r="AE665" s="222"/>
      <c r="AF665" s="222"/>
      <c r="AG665" s="222"/>
      <c r="AH665" s="222"/>
      <c r="AI665" s="222"/>
      <c r="AJ665" s="222"/>
      <c r="AK665" s="222"/>
      <c r="AL665" s="222"/>
      <c r="AM665" s="222"/>
      <c r="AN665" s="222"/>
      <c r="AO665" s="222"/>
      <c r="AP665" s="222"/>
      <c r="AQ665" s="222"/>
      <c r="AR665" s="222"/>
      <c r="AS665" s="222"/>
      <c r="AT665" s="222"/>
      <c r="AU665" s="222"/>
      <c r="AV665" s="222"/>
      <c r="AW665" s="222"/>
      <c r="AX665" s="222"/>
    </row>
    <row r="666" spans="1:50" ht="15.75" customHeight="1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  <c r="AC666" s="222"/>
      <c r="AD666" s="222"/>
      <c r="AE666" s="222"/>
      <c r="AF666" s="222"/>
      <c r="AG666" s="222"/>
      <c r="AH666" s="222"/>
      <c r="AI666" s="222"/>
      <c r="AJ666" s="222"/>
      <c r="AK666" s="222"/>
      <c r="AL666" s="222"/>
      <c r="AM666" s="222"/>
      <c r="AN666" s="222"/>
      <c r="AO666" s="222"/>
      <c r="AP666" s="222"/>
      <c r="AQ666" s="222"/>
      <c r="AR666" s="222"/>
      <c r="AS666" s="222"/>
      <c r="AT666" s="222"/>
      <c r="AU666" s="222"/>
      <c r="AV666" s="222"/>
      <c r="AW666" s="222"/>
      <c r="AX666" s="222"/>
    </row>
    <row r="667" spans="1:50" ht="15.75" customHeight="1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  <c r="AC667" s="222"/>
      <c r="AD667" s="222"/>
      <c r="AE667" s="222"/>
      <c r="AF667" s="222"/>
      <c r="AG667" s="222"/>
      <c r="AH667" s="222"/>
      <c r="AI667" s="222"/>
      <c r="AJ667" s="222"/>
      <c r="AK667" s="222"/>
      <c r="AL667" s="222"/>
      <c r="AM667" s="222"/>
      <c r="AN667" s="222"/>
      <c r="AO667" s="222"/>
      <c r="AP667" s="222"/>
      <c r="AQ667" s="222"/>
      <c r="AR667" s="222"/>
      <c r="AS667" s="222"/>
      <c r="AT667" s="222"/>
      <c r="AU667" s="222"/>
      <c r="AV667" s="222"/>
      <c r="AW667" s="222"/>
      <c r="AX667" s="222"/>
    </row>
    <row r="668" spans="1:50" ht="15.75" customHeight="1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  <c r="AC668" s="222"/>
      <c r="AD668" s="222"/>
      <c r="AE668" s="222"/>
      <c r="AF668" s="222"/>
      <c r="AG668" s="222"/>
      <c r="AH668" s="222"/>
      <c r="AI668" s="222"/>
      <c r="AJ668" s="222"/>
      <c r="AK668" s="222"/>
      <c r="AL668" s="222"/>
      <c r="AM668" s="222"/>
      <c r="AN668" s="222"/>
      <c r="AO668" s="222"/>
      <c r="AP668" s="222"/>
      <c r="AQ668" s="222"/>
      <c r="AR668" s="222"/>
      <c r="AS668" s="222"/>
      <c r="AT668" s="222"/>
      <c r="AU668" s="222"/>
      <c r="AV668" s="222"/>
      <c r="AW668" s="222"/>
      <c r="AX668" s="222"/>
    </row>
    <row r="669" spans="1:50" ht="15.75" customHeight="1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  <c r="AC669" s="222"/>
      <c r="AD669" s="222"/>
      <c r="AE669" s="222"/>
      <c r="AF669" s="222"/>
      <c r="AG669" s="222"/>
      <c r="AH669" s="222"/>
      <c r="AI669" s="222"/>
      <c r="AJ669" s="222"/>
      <c r="AK669" s="222"/>
      <c r="AL669" s="222"/>
      <c r="AM669" s="222"/>
      <c r="AN669" s="222"/>
      <c r="AO669" s="222"/>
      <c r="AP669" s="222"/>
      <c r="AQ669" s="222"/>
      <c r="AR669" s="222"/>
      <c r="AS669" s="222"/>
      <c r="AT669" s="222"/>
      <c r="AU669" s="222"/>
      <c r="AV669" s="222"/>
      <c r="AW669" s="222"/>
      <c r="AX669" s="222"/>
    </row>
    <row r="670" spans="1:50" ht="15.75" customHeight="1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  <c r="AC670" s="222"/>
      <c r="AD670" s="222"/>
      <c r="AE670" s="222"/>
      <c r="AF670" s="222"/>
      <c r="AG670" s="222"/>
      <c r="AH670" s="222"/>
      <c r="AI670" s="222"/>
      <c r="AJ670" s="222"/>
      <c r="AK670" s="222"/>
      <c r="AL670" s="222"/>
      <c r="AM670" s="222"/>
      <c r="AN670" s="222"/>
      <c r="AO670" s="222"/>
      <c r="AP670" s="222"/>
      <c r="AQ670" s="222"/>
      <c r="AR670" s="222"/>
      <c r="AS670" s="222"/>
      <c r="AT670" s="222"/>
      <c r="AU670" s="222"/>
      <c r="AV670" s="222"/>
      <c r="AW670" s="222"/>
      <c r="AX670" s="222"/>
    </row>
    <row r="671" spans="1:50" ht="15.75" customHeight="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  <c r="AC671" s="222"/>
      <c r="AD671" s="222"/>
      <c r="AE671" s="222"/>
      <c r="AF671" s="222"/>
      <c r="AG671" s="222"/>
      <c r="AH671" s="222"/>
      <c r="AI671" s="222"/>
      <c r="AJ671" s="222"/>
      <c r="AK671" s="222"/>
      <c r="AL671" s="222"/>
      <c r="AM671" s="222"/>
      <c r="AN671" s="222"/>
      <c r="AO671" s="222"/>
      <c r="AP671" s="222"/>
      <c r="AQ671" s="222"/>
      <c r="AR671" s="222"/>
      <c r="AS671" s="222"/>
      <c r="AT671" s="222"/>
      <c r="AU671" s="222"/>
      <c r="AV671" s="222"/>
      <c r="AW671" s="222"/>
      <c r="AX671" s="222"/>
    </row>
    <row r="672" spans="1:50" ht="15.75" customHeight="1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  <c r="AC672" s="222"/>
      <c r="AD672" s="222"/>
      <c r="AE672" s="222"/>
      <c r="AF672" s="222"/>
      <c r="AG672" s="222"/>
      <c r="AH672" s="222"/>
      <c r="AI672" s="222"/>
      <c r="AJ672" s="222"/>
      <c r="AK672" s="222"/>
      <c r="AL672" s="222"/>
      <c r="AM672" s="222"/>
      <c r="AN672" s="222"/>
      <c r="AO672" s="222"/>
      <c r="AP672" s="222"/>
      <c r="AQ672" s="222"/>
      <c r="AR672" s="222"/>
      <c r="AS672" s="222"/>
      <c r="AT672" s="222"/>
      <c r="AU672" s="222"/>
      <c r="AV672" s="222"/>
      <c r="AW672" s="222"/>
      <c r="AX672" s="222"/>
    </row>
    <row r="673" spans="1:50" ht="15.75" customHeight="1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  <c r="AC673" s="222"/>
      <c r="AD673" s="222"/>
      <c r="AE673" s="222"/>
      <c r="AF673" s="222"/>
      <c r="AG673" s="222"/>
      <c r="AH673" s="222"/>
      <c r="AI673" s="222"/>
      <c r="AJ673" s="222"/>
      <c r="AK673" s="222"/>
      <c r="AL673" s="222"/>
      <c r="AM673" s="222"/>
      <c r="AN673" s="222"/>
      <c r="AO673" s="222"/>
      <c r="AP673" s="222"/>
      <c r="AQ673" s="222"/>
      <c r="AR673" s="222"/>
      <c r="AS673" s="222"/>
      <c r="AT673" s="222"/>
      <c r="AU673" s="222"/>
      <c r="AV673" s="222"/>
      <c r="AW673" s="222"/>
      <c r="AX673" s="222"/>
    </row>
    <row r="674" spans="1:50" ht="15.75" customHeight="1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2"/>
      <c r="AE674" s="222"/>
      <c r="AF674" s="222"/>
      <c r="AG674" s="222"/>
      <c r="AH674" s="222"/>
      <c r="AI674" s="222"/>
      <c r="AJ674" s="222"/>
      <c r="AK674" s="222"/>
      <c r="AL674" s="222"/>
      <c r="AM674" s="222"/>
      <c r="AN674" s="222"/>
      <c r="AO674" s="222"/>
      <c r="AP674" s="222"/>
      <c r="AQ674" s="222"/>
      <c r="AR674" s="222"/>
      <c r="AS674" s="222"/>
      <c r="AT674" s="222"/>
      <c r="AU674" s="222"/>
      <c r="AV674" s="222"/>
      <c r="AW674" s="222"/>
      <c r="AX674" s="222"/>
    </row>
    <row r="675" spans="1:50" ht="15.75" customHeight="1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  <c r="AC675" s="222"/>
      <c r="AD675" s="222"/>
      <c r="AE675" s="222"/>
      <c r="AF675" s="222"/>
      <c r="AG675" s="222"/>
      <c r="AH675" s="222"/>
      <c r="AI675" s="222"/>
      <c r="AJ675" s="222"/>
      <c r="AK675" s="222"/>
      <c r="AL675" s="222"/>
      <c r="AM675" s="222"/>
      <c r="AN675" s="222"/>
      <c r="AO675" s="222"/>
      <c r="AP675" s="222"/>
      <c r="AQ675" s="222"/>
      <c r="AR675" s="222"/>
      <c r="AS675" s="222"/>
      <c r="AT675" s="222"/>
      <c r="AU675" s="222"/>
      <c r="AV675" s="222"/>
      <c r="AW675" s="222"/>
      <c r="AX675" s="222"/>
    </row>
    <row r="676" spans="1:50" ht="15.75" customHeight="1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  <c r="AM676" s="222"/>
      <c r="AN676" s="222"/>
      <c r="AO676" s="222"/>
      <c r="AP676" s="222"/>
      <c r="AQ676" s="222"/>
      <c r="AR676" s="222"/>
      <c r="AS676" s="222"/>
      <c r="AT676" s="222"/>
      <c r="AU676" s="222"/>
      <c r="AV676" s="222"/>
      <c r="AW676" s="222"/>
      <c r="AX676" s="222"/>
    </row>
    <row r="677" spans="1:50" ht="15.75" customHeight="1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  <c r="AC677" s="222"/>
      <c r="AD677" s="222"/>
      <c r="AE677" s="222"/>
      <c r="AF677" s="222"/>
      <c r="AG677" s="222"/>
      <c r="AH677" s="222"/>
      <c r="AI677" s="222"/>
      <c r="AJ677" s="222"/>
      <c r="AK677" s="222"/>
      <c r="AL677" s="222"/>
      <c r="AM677" s="222"/>
      <c r="AN677" s="222"/>
      <c r="AO677" s="222"/>
      <c r="AP677" s="222"/>
      <c r="AQ677" s="222"/>
      <c r="AR677" s="222"/>
      <c r="AS677" s="222"/>
      <c r="AT677" s="222"/>
      <c r="AU677" s="222"/>
      <c r="AV677" s="222"/>
      <c r="AW677" s="222"/>
      <c r="AX677" s="222"/>
    </row>
    <row r="678" spans="1:50" ht="15.75" customHeight="1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  <c r="AC678" s="222"/>
      <c r="AD678" s="222"/>
      <c r="AE678" s="222"/>
      <c r="AF678" s="222"/>
      <c r="AG678" s="222"/>
      <c r="AH678" s="222"/>
      <c r="AI678" s="222"/>
      <c r="AJ678" s="222"/>
      <c r="AK678" s="222"/>
      <c r="AL678" s="222"/>
      <c r="AM678" s="222"/>
      <c r="AN678" s="222"/>
      <c r="AO678" s="222"/>
      <c r="AP678" s="222"/>
      <c r="AQ678" s="222"/>
      <c r="AR678" s="222"/>
      <c r="AS678" s="222"/>
      <c r="AT678" s="222"/>
      <c r="AU678" s="222"/>
      <c r="AV678" s="222"/>
      <c r="AW678" s="222"/>
      <c r="AX678" s="222"/>
    </row>
    <row r="679" spans="1:50" ht="15.75" customHeight="1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  <c r="AC679" s="222"/>
      <c r="AD679" s="222"/>
      <c r="AE679" s="222"/>
      <c r="AF679" s="222"/>
      <c r="AG679" s="222"/>
      <c r="AH679" s="222"/>
      <c r="AI679" s="222"/>
      <c r="AJ679" s="222"/>
      <c r="AK679" s="222"/>
      <c r="AL679" s="222"/>
      <c r="AM679" s="222"/>
      <c r="AN679" s="222"/>
      <c r="AO679" s="222"/>
      <c r="AP679" s="222"/>
      <c r="AQ679" s="222"/>
      <c r="AR679" s="222"/>
      <c r="AS679" s="222"/>
      <c r="AT679" s="222"/>
      <c r="AU679" s="222"/>
      <c r="AV679" s="222"/>
      <c r="AW679" s="222"/>
      <c r="AX679" s="222"/>
    </row>
    <row r="680" spans="1:50" ht="15.75" customHeight="1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  <c r="AC680" s="222"/>
      <c r="AD680" s="222"/>
      <c r="AE680" s="222"/>
      <c r="AF680" s="222"/>
      <c r="AG680" s="222"/>
      <c r="AH680" s="222"/>
      <c r="AI680" s="222"/>
      <c r="AJ680" s="222"/>
      <c r="AK680" s="222"/>
      <c r="AL680" s="222"/>
      <c r="AM680" s="222"/>
      <c r="AN680" s="222"/>
      <c r="AO680" s="222"/>
      <c r="AP680" s="222"/>
      <c r="AQ680" s="222"/>
      <c r="AR680" s="222"/>
      <c r="AS680" s="222"/>
      <c r="AT680" s="222"/>
      <c r="AU680" s="222"/>
      <c r="AV680" s="222"/>
      <c r="AW680" s="222"/>
      <c r="AX680" s="222"/>
    </row>
    <row r="681" spans="1:50" ht="15.75" customHeight="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  <c r="AC681" s="222"/>
      <c r="AD681" s="222"/>
      <c r="AE681" s="222"/>
      <c r="AF681" s="222"/>
      <c r="AG681" s="222"/>
      <c r="AH681" s="222"/>
      <c r="AI681" s="222"/>
      <c r="AJ681" s="222"/>
      <c r="AK681" s="222"/>
      <c r="AL681" s="222"/>
      <c r="AM681" s="222"/>
      <c r="AN681" s="222"/>
      <c r="AO681" s="222"/>
      <c r="AP681" s="222"/>
      <c r="AQ681" s="222"/>
      <c r="AR681" s="222"/>
      <c r="AS681" s="222"/>
      <c r="AT681" s="222"/>
      <c r="AU681" s="222"/>
      <c r="AV681" s="222"/>
      <c r="AW681" s="222"/>
      <c r="AX681" s="222"/>
    </row>
    <row r="682" spans="1:50" ht="15.75" customHeight="1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  <c r="AC682" s="222"/>
      <c r="AD682" s="222"/>
      <c r="AE682" s="222"/>
      <c r="AF682" s="222"/>
      <c r="AG682" s="222"/>
      <c r="AH682" s="222"/>
      <c r="AI682" s="222"/>
      <c r="AJ682" s="222"/>
      <c r="AK682" s="222"/>
      <c r="AL682" s="222"/>
      <c r="AM682" s="222"/>
      <c r="AN682" s="222"/>
      <c r="AO682" s="222"/>
      <c r="AP682" s="222"/>
      <c r="AQ682" s="222"/>
      <c r="AR682" s="222"/>
      <c r="AS682" s="222"/>
      <c r="AT682" s="222"/>
      <c r="AU682" s="222"/>
      <c r="AV682" s="222"/>
      <c r="AW682" s="222"/>
      <c r="AX682" s="222"/>
    </row>
    <row r="683" spans="1:50" ht="15.75" customHeight="1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  <c r="AC683" s="222"/>
      <c r="AD683" s="222"/>
      <c r="AE683" s="222"/>
      <c r="AF683" s="222"/>
      <c r="AG683" s="222"/>
      <c r="AH683" s="222"/>
      <c r="AI683" s="222"/>
      <c r="AJ683" s="222"/>
      <c r="AK683" s="222"/>
      <c r="AL683" s="222"/>
      <c r="AM683" s="222"/>
      <c r="AN683" s="222"/>
      <c r="AO683" s="222"/>
      <c r="AP683" s="222"/>
      <c r="AQ683" s="222"/>
      <c r="AR683" s="222"/>
      <c r="AS683" s="222"/>
      <c r="AT683" s="222"/>
      <c r="AU683" s="222"/>
      <c r="AV683" s="222"/>
      <c r="AW683" s="222"/>
      <c r="AX683" s="222"/>
    </row>
    <row r="684" spans="1:50" ht="15.75" customHeight="1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  <c r="AC684" s="222"/>
      <c r="AD684" s="222"/>
      <c r="AE684" s="222"/>
      <c r="AF684" s="222"/>
      <c r="AG684" s="222"/>
      <c r="AH684" s="222"/>
      <c r="AI684" s="222"/>
      <c r="AJ684" s="222"/>
      <c r="AK684" s="222"/>
      <c r="AL684" s="222"/>
      <c r="AM684" s="222"/>
      <c r="AN684" s="222"/>
      <c r="AO684" s="222"/>
      <c r="AP684" s="222"/>
      <c r="AQ684" s="222"/>
      <c r="AR684" s="222"/>
      <c r="AS684" s="222"/>
      <c r="AT684" s="222"/>
      <c r="AU684" s="222"/>
      <c r="AV684" s="222"/>
      <c r="AW684" s="222"/>
      <c r="AX684" s="222"/>
    </row>
    <row r="685" spans="1:50" ht="15.75" customHeight="1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  <c r="AC685" s="222"/>
      <c r="AD685" s="222"/>
      <c r="AE685" s="222"/>
      <c r="AF685" s="222"/>
      <c r="AG685" s="222"/>
      <c r="AH685" s="222"/>
      <c r="AI685" s="222"/>
      <c r="AJ685" s="222"/>
      <c r="AK685" s="222"/>
      <c r="AL685" s="222"/>
      <c r="AM685" s="222"/>
      <c r="AN685" s="222"/>
      <c r="AO685" s="222"/>
      <c r="AP685" s="222"/>
      <c r="AQ685" s="222"/>
      <c r="AR685" s="222"/>
      <c r="AS685" s="222"/>
      <c r="AT685" s="222"/>
      <c r="AU685" s="222"/>
      <c r="AV685" s="222"/>
      <c r="AW685" s="222"/>
      <c r="AX685" s="222"/>
    </row>
    <row r="686" spans="1:50" ht="15.75" customHeight="1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  <c r="AC686" s="222"/>
      <c r="AD686" s="222"/>
      <c r="AE686" s="222"/>
      <c r="AF686" s="222"/>
      <c r="AG686" s="222"/>
      <c r="AH686" s="222"/>
      <c r="AI686" s="222"/>
      <c r="AJ686" s="222"/>
      <c r="AK686" s="222"/>
      <c r="AL686" s="222"/>
      <c r="AM686" s="222"/>
      <c r="AN686" s="222"/>
      <c r="AO686" s="222"/>
      <c r="AP686" s="222"/>
      <c r="AQ686" s="222"/>
      <c r="AR686" s="222"/>
      <c r="AS686" s="222"/>
      <c r="AT686" s="222"/>
      <c r="AU686" s="222"/>
      <c r="AV686" s="222"/>
      <c r="AW686" s="222"/>
      <c r="AX686" s="222"/>
    </row>
    <row r="687" spans="1:50" ht="15.75" customHeight="1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  <c r="AC687" s="222"/>
      <c r="AD687" s="222"/>
      <c r="AE687" s="222"/>
      <c r="AF687" s="222"/>
      <c r="AG687" s="222"/>
      <c r="AH687" s="222"/>
      <c r="AI687" s="222"/>
      <c r="AJ687" s="222"/>
      <c r="AK687" s="222"/>
      <c r="AL687" s="222"/>
      <c r="AM687" s="222"/>
      <c r="AN687" s="222"/>
      <c r="AO687" s="222"/>
      <c r="AP687" s="222"/>
      <c r="AQ687" s="222"/>
      <c r="AR687" s="222"/>
      <c r="AS687" s="222"/>
      <c r="AT687" s="222"/>
      <c r="AU687" s="222"/>
      <c r="AV687" s="222"/>
      <c r="AW687" s="222"/>
      <c r="AX687" s="222"/>
    </row>
    <row r="688" spans="1:50" ht="15.75" customHeight="1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  <c r="AC688" s="222"/>
      <c r="AD688" s="222"/>
      <c r="AE688" s="222"/>
      <c r="AF688" s="222"/>
      <c r="AG688" s="222"/>
      <c r="AH688" s="222"/>
      <c r="AI688" s="222"/>
      <c r="AJ688" s="222"/>
      <c r="AK688" s="222"/>
      <c r="AL688" s="222"/>
      <c r="AM688" s="222"/>
      <c r="AN688" s="222"/>
      <c r="AO688" s="222"/>
      <c r="AP688" s="222"/>
      <c r="AQ688" s="222"/>
      <c r="AR688" s="222"/>
      <c r="AS688" s="222"/>
      <c r="AT688" s="222"/>
      <c r="AU688" s="222"/>
      <c r="AV688" s="222"/>
      <c r="AW688" s="222"/>
      <c r="AX688" s="222"/>
    </row>
    <row r="689" spans="1:50" ht="15.75" customHeight="1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  <c r="AC689" s="222"/>
      <c r="AD689" s="222"/>
      <c r="AE689" s="222"/>
      <c r="AF689" s="222"/>
      <c r="AG689" s="222"/>
      <c r="AH689" s="222"/>
      <c r="AI689" s="222"/>
      <c r="AJ689" s="222"/>
      <c r="AK689" s="222"/>
      <c r="AL689" s="222"/>
      <c r="AM689" s="222"/>
      <c r="AN689" s="222"/>
      <c r="AO689" s="222"/>
      <c r="AP689" s="222"/>
      <c r="AQ689" s="222"/>
      <c r="AR689" s="222"/>
      <c r="AS689" s="222"/>
      <c r="AT689" s="222"/>
      <c r="AU689" s="222"/>
      <c r="AV689" s="222"/>
      <c r="AW689" s="222"/>
      <c r="AX689" s="222"/>
    </row>
    <row r="690" spans="1:50" ht="15.75" customHeight="1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  <c r="AC690" s="222"/>
      <c r="AD690" s="222"/>
      <c r="AE690" s="222"/>
      <c r="AF690" s="222"/>
      <c r="AG690" s="222"/>
      <c r="AH690" s="222"/>
      <c r="AI690" s="222"/>
      <c r="AJ690" s="222"/>
      <c r="AK690" s="222"/>
      <c r="AL690" s="222"/>
      <c r="AM690" s="222"/>
      <c r="AN690" s="222"/>
      <c r="AO690" s="222"/>
      <c r="AP690" s="222"/>
      <c r="AQ690" s="222"/>
      <c r="AR690" s="222"/>
      <c r="AS690" s="222"/>
      <c r="AT690" s="222"/>
      <c r="AU690" s="222"/>
      <c r="AV690" s="222"/>
      <c r="AW690" s="222"/>
      <c r="AX690" s="222"/>
    </row>
    <row r="691" spans="1:50" ht="15.75" customHeight="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  <c r="AC691" s="222"/>
      <c r="AD691" s="222"/>
      <c r="AE691" s="222"/>
      <c r="AF691" s="222"/>
      <c r="AG691" s="222"/>
      <c r="AH691" s="222"/>
      <c r="AI691" s="222"/>
      <c r="AJ691" s="222"/>
      <c r="AK691" s="222"/>
      <c r="AL691" s="222"/>
      <c r="AM691" s="222"/>
      <c r="AN691" s="222"/>
      <c r="AO691" s="222"/>
      <c r="AP691" s="222"/>
      <c r="AQ691" s="222"/>
      <c r="AR691" s="222"/>
      <c r="AS691" s="222"/>
      <c r="AT691" s="222"/>
      <c r="AU691" s="222"/>
      <c r="AV691" s="222"/>
      <c r="AW691" s="222"/>
      <c r="AX691" s="222"/>
    </row>
    <row r="692" spans="1:50" ht="15.75" customHeight="1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  <c r="AC692" s="222"/>
      <c r="AD692" s="222"/>
      <c r="AE692" s="222"/>
      <c r="AF692" s="222"/>
      <c r="AG692" s="222"/>
      <c r="AH692" s="222"/>
      <c r="AI692" s="222"/>
      <c r="AJ692" s="222"/>
      <c r="AK692" s="222"/>
      <c r="AL692" s="222"/>
      <c r="AM692" s="222"/>
      <c r="AN692" s="222"/>
      <c r="AO692" s="222"/>
      <c r="AP692" s="222"/>
      <c r="AQ692" s="222"/>
      <c r="AR692" s="222"/>
      <c r="AS692" s="222"/>
      <c r="AT692" s="222"/>
      <c r="AU692" s="222"/>
      <c r="AV692" s="222"/>
      <c r="AW692" s="222"/>
      <c r="AX692" s="222"/>
    </row>
    <row r="693" spans="1:50" ht="15.75" customHeight="1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  <c r="AC693" s="222"/>
      <c r="AD693" s="222"/>
      <c r="AE693" s="222"/>
      <c r="AF693" s="222"/>
      <c r="AG693" s="222"/>
      <c r="AH693" s="222"/>
      <c r="AI693" s="222"/>
      <c r="AJ693" s="222"/>
      <c r="AK693" s="222"/>
      <c r="AL693" s="222"/>
      <c r="AM693" s="222"/>
      <c r="AN693" s="222"/>
      <c r="AO693" s="222"/>
      <c r="AP693" s="222"/>
      <c r="AQ693" s="222"/>
      <c r="AR693" s="222"/>
      <c r="AS693" s="222"/>
      <c r="AT693" s="222"/>
      <c r="AU693" s="222"/>
      <c r="AV693" s="222"/>
      <c r="AW693" s="222"/>
      <c r="AX693" s="222"/>
    </row>
    <row r="694" spans="1:50" ht="15.75" customHeight="1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  <c r="AC694" s="222"/>
      <c r="AD694" s="222"/>
      <c r="AE694" s="222"/>
      <c r="AF694" s="222"/>
      <c r="AG694" s="222"/>
      <c r="AH694" s="222"/>
      <c r="AI694" s="222"/>
      <c r="AJ694" s="222"/>
      <c r="AK694" s="222"/>
      <c r="AL694" s="222"/>
      <c r="AM694" s="222"/>
      <c r="AN694" s="222"/>
      <c r="AO694" s="222"/>
      <c r="AP694" s="222"/>
      <c r="AQ694" s="222"/>
      <c r="AR694" s="222"/>
      <c r="AS694" s="222"/>
      <c r="AT694" s="222"/>
      <c r="AU694" s="222"/>
      <c r="AV694" s="222"/>
      <c r="AW694" s="222"/>
      <c r="AX694" s="222"/>
    </row>
    <row r="695" spans="1:50" ht="15.75" customHeight="1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  <c r="AC695" s="222"/>
      <c r="AD695" s="222"/>
      <c r="AE695" s="222"/>
      <c r="AF695" s="222"/>
      <c r="AG695" s="222"/>
      <c r="AH695" s="222"/>
      <c r="AI695" s="222"/>
      <c r="AJ695" s="222"/>
      <c r="AK695" s="222"/>
      <c r="AL695" s="222"/>
      <c r="AM695" s="222"/>
      <c r="AN695" s="222"/>
      <c r="AO695" s="222"/>
      <c r="AP695" s="222"/>
      <c r="AQ695" s="222"/>
      <c r="AR695" s="222"/>
      <c r="AS695" s="222"/>
      <c r="AT695" s="222"/>
      <c r="AU695" s="222"/>
      <c r="AV695" s="222"/>
      <c r="AW695" s="222"/>
      <c r="AX695" s="222"/>
    </row>
    <row r="696" spans="1:50" ht="15.75" customHeight="1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  <c r="AC696" s="222"/>
      <c r="AD696" s="222"/>
      <c r="AE696" s="222"/>
      <c r="AF696" s="222"/>
      <c r="AG696" s="222"/>
      <c r="AH696" s="222"/>
      <c r="AI696" s="222"/>
      <c r="AJ696" s="222"/>
      <c r="AK696" s="222"/>
      <c r="AL696" s="222"/>
      <c r="AM696" s="222"/>
      <c r="AN696" s="222"/>
      <c r="AO696" s="222"/>
      <c r="AP696" s="222"/>
      <c r="AQ696" s="222"/>
      <c r="AR696" s="222"/>
      <c r="AS696" s="222"/>
      <c r="AT696" s="222"/>
      <c r="AU696" s="222"/>
      <c r="AV696" s="222"/>
      <c r="AW696" s="222"/>
      <c r="AX696" s="222"/>
    </row>
    <row r="697" spans="1:50" ht="15.75" customHeight="1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  <c r="AC697" s="222"/>
      <c r="AD697" s="222"/>
      <c r="AE697" s="222"/>
      <c r="AF697" s="222"/>
      <c r="AG697" s="222"/>
      <c r="AH697" s="222"/>
      <c r="AI697" s="222"/>
      <c r="AJ697" s="222"/>
      <c r="AK697" s="222"/>
      <c r="AL697" s="222"/>
      <c r="AM697" s="222"/>
      <c r="AN697" s="222"/>
      <c r="AO697" s="222"/>
      <c r="AP697" s="222"/>
      <c r="AQ697" s="222"/>
      <c r="AR697" s="222"/>
      <c r="AS697" s="222"/>
      <c r="AT697" s="222"/>
      <c r="AU697" s="222"/>
      <c r="AV697" s="222"/>
      <c r="AW697" s="222"/>
      <c r="AX697" s="222"/>
    </row>
    <row r="698" spans="1:50" ht="15.75" customHeight="1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  <c r="AC698" s="222"/>
      <c r="AD698" s="222"/>
      <c r="AE698" s="222"/>
      <c r="AF698" s="222"/>
      <c r="AG698" s="222"/>
      <c r="AH698" s="222"/>
      <c r="AI698" s="222"/>
      <c r="AJ698" s="222"/>
      <c r="AK698" s="222"/>
      <c r="AL698" s="222"/>
      <c r="AM698" s="222"/>
      <c r="AN698" s="222"/>
      <c r="AO698" s="222"/>
      <c r="AP698" s="222"/>
      <c r="AQ698" s="222"/>
      <c r="AR698" s="222"/>
      <c r="AS698" s="222"/>
      <c r="AT698" s="222"/>
      <c r="AU698" s="222"/>
      <c r="AV698" s="222"/>
      <c r="AW698" s="222"/>
      <c r="AX698" s="222"/>
    </row>
    <row r="699" spans="1:50" ht="15.75" customHeight="1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  <c r="AC699" s="222"/>
      <c r="AD699" s="222"/>
      <c r="AE699" s="222"/>
      <c r="AF699" s="222"/>
      <c r="AG699" s="222"/>
      <c r="AH699" s="222"/>
      <c r="AI699" s="222"/>
      <c r="AJ699" s="222"/>
      <c r="AK699" s="222"/>
      <c r="AL699" s="222"/>
      <c r="AM699" s="222"/>
      <c r="AN699" s="222"/>
      <c r="AO699" s="222"/>
      <c r="AP699" s="222"/>
      <c r="AQ699" s="222"/>
      <c r="AR699" s="222"/>
      <c r="AS699" s="222"/>
      <c r="AT699" s="222"/>
      <c r="AU699" s="222"/>
      <c r="AV699" s="222"/>
      <c r="AW699" s="222"/>
      <c r="AX699" s="222"/>
    </row>
    <row r="700" spans="1:50" ht="15.75" customHeight="1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  <c r="AC700" s="222"/>
      <c r="AD700" s="222"/>
      <c r="AE700" s="222"/>
      <c r="AF700" s="222"/>
      <c r="AG700" s="222"/>
      <c r="AH700" s="222"/>
      <c r="AI700" s="222"/>
      <c r="AJ700" s="222"/>
      <c r="AK700" s="222"/>
      <c r="AL700" s="222"/>
      <c r="AM700" s="222"/>
      <c r="AN700" s="222"/>
      <c r="AO700" s="222"/>
      <c r="AP700" s="222"/>
      <c r="AQ700" s="222"/>
      <c r="AR700" s="222"/>
      <c r="AS700" s="222"/>
      <c r="AT700" s="222"/>
      <c r="AU700" s="222"/>
      <c r="AV700" s="222"/>
      <c r="AW700" s="222"/>
      <c r="AX700" s="222"/>
    </row>
    <row r="701" spans="1:50" ht="15.75" customHeight="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  <c r="AC701" s="222"/>
      <c r="AD701" s="222"/>
      <c r="AE701" s="222"/>
      <c r="AF701" s="222"/>
      <c r="AG701" s="222"/>
      <c r="AH701" s="222"/>
      <c r="AI701" s="222"/>
      <c r="AJ701" s="222"/>
      <c r="AK701" s="222"/>
      <c r="AL701" s="222"/>
      <c r="AM701" s="222"/>
      <c r="AN701" s="222"/>
      <c r="AO701" s="222"/>
      <c r="AP701" s="222"/>
      <c r="AQ701" s="222"/>
      <c r="AR701" s="222"/>
      <c r="AS701" s="222"/>
      <c r="AT701" s="222"/>
      <c r="AU701" s="222"/>
      <c r="AV701" s="222"/>
      <c r="AW701" s="222"/>
      <c r="AX701" s="222"/>
    </row>
    <row r="702" spans="1:50" ht="15.75" customHeight="1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  <c r="AC702" s="222"/>
      <c r="AD702" s="222"/>
      <c r="AE702" s="222"/>
      <c r="AF702" s="222"/>
      <c r="AG702" s="222"/>
      <c r="AH702" s="222"/>
      <c r="AI702" s="222"/>
      <c r="AJ702" s="222"/>
      <c r="AK702" s="222"/>
      <c r="AL702" s="222"/>
      <c r="AM702" s="222"/>
      <c r="AN702" s="222"/>
      <c r="AO702" s="222"/>
      <c r="AP702" s="222"/>
      <c r="AQ702" s="222"/>
      <c r="AR702" s="222"/>
      <c r="AS702" s="222"/>
      <c r="AT702" s="222"/>
      <c r="AU702" s="222"/>
      <c r="AV702" s="222"/>
      <c r="AW702" s="222"/>
      <c r="AX702" s="222"/>
    </row>
    <row r="703" spans="1:50" ht="15.75" customHeight="1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  <c r="AC703" s="222"/>
      <c r="AD703" s="222"/>
      <c r="AE703" s="222"/>
      <c r="AF703" s="222"/>
      <c r="AG703" s="222"/>
      <c r="AH703" s="222"/>
      <c r="AI703" s="222"/>
      <c r="AJ703" s="222"/>
      <c r="AK703" s="222"/>
      <c r="AL703" s="222"/>
      <c r="AM703" s="222"/>
      <c r="AN703" s="222"/>
      <c r="AO703" s="222"/>
      <c r="AP703" s="222"/>
      <c r="AQ703" s="222"/>
      <c r="AR703" s="222"/>
      <c r="AS703" s="222"/>
      <c r="AT703" s="222"/>
      <c r="AU703" s="222"/>
      <c r="AV703" s="222"/>
      <c r="AW703" s="222"/>
      <c r="AX703" s="222"/>
    </row>
    <row r="704" spans="1:50" ht="15.75" customHeight="1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  <c r="AC704" s="222"/>
      <c r="AD704" s="222"/>
      <c r="AE704" s="222"/>
      <c r="AF704" s="222"/>
      <c r="AG704" s="222"/>
      <c r="AH704" s="222"/>
      <c r="AI704" s="222"/>
      <c r="AJ704" s="222"/>
      <c r="AK704" s="222"/>
      <c r="AL704" s="222"/>
      <c r="AM704" s="222"/>
      <c r="AN704" s="222"/>
      <c r="AO704" s="222"/>
      <c r="AP704" s="222"/>
      <c r="AQ704" s="222"/>
      <c r="AR704" s="222"/>
      <c r="AS704" s="222"/>
      <c r="AT704" s="222"/>
      <c r="AU704" s="222"/>
      <c r="AV704" s="222"/>
      <c r="AW704" s="222"/>
      <c r="AX704" s="222"/>
    </row>
    <row r="705" spans="1:50" ht="15.75" customHeight="1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  <c r="AM705" s="222"/>
      <c r="AN705" s="222"/>
      <c r="AO705" s="222"/>
      <c r="AP705" s="222"/>
      <c r="AQ705" s="222"/>
      <c r="AR705" s="222"/>
      <c r="AS705" s="222"/>
      <c r="AT705" s="222"/>
      <c r="AU705" s="222"/>
      <c r="AV705" s="222"/>
      <c r="AW705" s="222"/>
      <c r="AX705" s="222"/>
    </row>
    <row r="706" spans="1:50" ht="15.75" customHeight="1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  <c r="AC706" s="222"/>
      <c r="AD706" s="222"/>
      <c r="AE706" s="222"/>
      <c r="AF706" s="222"/>
      <c r="AG706" s="222"/>
      <c r="AH706" s="222"/>
      <c r="AI706" s="222"/>
      <c r="AJ706" s="222"/>
      <c r="AK706" s="222"/>
      <c r="AL706" s="222"/>
      <c r="AM706" s="222"/>
      <c r="AN706" s="222"/>
      <c r="AO706" s="222"/>
      <c r="AP706" s="222"/>
      <c r="AQ706" s="222"/>
      <c r="AR706" s="222"/>
      <c r="AS706" s="222"/>
      <c r="AT706" s="222"/>
      <c r="AU706" s="222"/>
      <c r="AV706" s="222"/>
      <c r="AW706" s="222"/>
      <c r="AX706" s="222"/>
    </row>
    <row r="707" spans="1:50" ht="15.75" customHeight="1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  <c r="AC707" s="222"/>
      <c r="AD707" s="222"/>
      <c r="AE707" s="222"/>
      <c r="AF707" s="222"/>
      <c r="AG707" s="222"/>
      <c r="AH707" s="222"/>
      <c r="AI707" s="222"/>
      <c r="AJ707" s="222"/>
      <c r="AK707" s="222"/>
      <c r="AL707" s="222"/>
      <c r="AM707" s="222"/>
      <c r="AN707" s="222"/>
      <c r="AO707" s="222"/>
      <c r="AP707" s="222"/>
      <c r="AQ707" s="222"/>
      <c r="AR707" s="222"/>
      <c r="AS707" s="222"/>
      <c r="AT707" s="222"/>
      <c r="AU707" s="222"/>
      <c r="AV707" s="222"/>
      <c r="AW707" s="222"/>
      <c r="AX707" s="222"/>
    </row>
    <row r="708" spans="1:50" ht="15.75" customHeight="1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  <c r="AC708" s="222"/>
      <c r="AD708" s="222"/>
      <c r="AE708" s="222"/>
      <c r="AF708" s="222"/>
      <c r="AG708" s="222"/>
      <c r="AH708" s="222"/>
      <c r="AI708" s="222"/>
      <c r="AJ708" s="222"/>
      <c r="AK708" s="222"/>
      <c r="AL708" s="222"/>
      <c r="AM708" s="222"/>
      <c r="AN708" s="222"/>
      <c r="AO708" s="222"/>
      <c r="AP708" s="222"/>
      <c r="AQ708" s="222"/>
      <c r="AR708" s="222"/>
      <c r="AS708" s="222"/>
      <c r="AT708" s="222"/>
      <c r="AU708" s="222"/>
      <c r="AV708" s="222"/>
      <c r="AW708" s="222"/>
      <c r="AX708" s="222"/>
    </row>
    <row r="709" spans="1:50" ht="15.75" customHeight="1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  <c r="AC709" s="222"/>
      <c r="AD709" s="222"/>
      <c r="AE709" s="222"/>
      <c r="AF709" s="222"/>
      <c r="AG709" s="222"/>
      <c r="AH709" s="222"/>
      <c r="AI709" s="222"/>
      <c r="AJ709" s="222"/>
      <c r="AK709" s="222"/>
      <c r="AL709" s="222"/>
      <c r="AM709" s="222"/>
      <c r="AN709" s="222"/>
      <c r="AO709" s="222"/>
      <c r="AP709" s="222"/>
      <c r="AQ709" s="222"/>
      <c r="AR709" s="222"/>
      <c r="AS709" s="222"/>
      <c r="AT709" s="222"/>
      <c r="AU709" s="222"/>
      <c r="AV709" s="222"/>
      <c r="AW709" s="222"/>
      <c r="AX709" s="222"/>
    </row>
    <row r="710" spans="1:50" ht="15.75" customHeight="1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  <c r="AC710" s="222"/>
      <c r="AD710" s="222"/>
      <c r="AE710" s="222"/>
      <c r="AF710" s="222"/>
      <c r="AG710" s="222"/>
      <c r="AH710" s="222"/>
      <c r="AI710" s="222"/>
      <c r="AJ710" s="222"/>
      <c r="AK710" s="222"/>
      <c r="AL710" s="222"/>
      <c r="AM710" s="222"/>
      <c r="AN710" s="222"/>
      <c r="AO710" s="222"/>
      <c r="AP710" s="222"/>
      <c r="AQ710" s="222"/>
      <c r="AR710" s="222"/>
      <c r="AS710" s="222"/>
      <c r="AT710" s="222"/>
      <c r="AU710" s="222"/>
      <c r="AV710" s="222"/>
      <c r="AW710" s="222"/>
      <c r="AX710" s="222"/>
    </row>
    <row r="711" spans="1:50" ht="15.75" customHeight="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  <c r="AC711" s="222"/>
      <c r="AD711" s="222"/>
      <c r="AE711" s="222"/>
      <c r="AF711" s="222"/>
      <c r="AG711" s="222"/>
      <c r="AH711" s="222"/>
      <c r="AI711" s="222"/>
      <c r="AJ711" s="222"/>
      <c r="AK711" s="222"/>
      <c r="AL711" s="222"/>
      <c r="AM711" s="222"/>
      <c r="AN711" s="222"/>
      <c r="AO711" s="222"/>
      <c r="AP711" s="222"/>
      <c r="AQ711" s="222"/>
      <c r="AR711" s="222"/>
      <c r="AS711" s="222"/>
      <c r="AT711" s="222"/>
      <c r="AU711" s="222"/>
      <c r="AV711" s="222"/>
      <c r="AW711" s="222"/>
      <c r="AX711" s="222"/>
    </row>
    <row r="712" spans="1:50" ht="15.75" customHeight="1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  <c r="AC712" s="222"/>
      <c r="AD712" s="222"/>
      <c r="AE712" s="222"/>
      <c r="AF712" s="222"/>
      <c r="AG712" s="222"/>
      <c r="AH712" s="222"/>
      <c r="AI712" s="222"/>
      <c r="AJ712" s="222"/>
      <c r="AK712" s="222"/>
      <c r="AL712" s="222"/>
      <c r="AM712" s="222"/>
      <c r="AN712" s="222"/>
      <c r="AO712" s="222"/>
      <c r="AP712" s="222"/>
      <c r="AQ712" s="222"/>
      <c r="AR712" s="222"/>
      <c r="AS712" s="222"/>
      <c r="AT712" s="222"/>
      <c r="AU712" s="222"/>
      <c r="AV712" s="222"/>
      <c r="AW712" s="222"/>
      <c r="AX712" s="222"/>
    </row>
    <row r="713" spans="1:50" ht="15.75" customHeight="1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  <c r="AC713" s="222"/>
      <c r="AD713" s="222"/>
      <c r="AE713" s="222"/>
      <c r="AF713" s="222"/>
      <c r="AG713" s="222"/>
      <c r="AH713" s="222"/>
      <c r="AI713" s="222"/>
      <c r="AJ713" s="222"/>
      <c r="AK713" s="222"/>
      <c r="AL713" s="222"/>
      <c r="AM713" s="222"/>
      <c r="AN713" s="222"/>
      <c r="AO713" s="222"/>
      <c r="AP713" s="222"/>
      <c r="AQ713" s="222"/>
      <c r="AR713" s="222"/>
      <c r="AS713" s="222"/>
      <c r="AT713" s="222"/>
      <c r="AU713" s="222"/>
      <c r="AV713" s="222"/>
      <c r="AW713" s="222"/>
      <c r="AX713" s="222"/>
    </row>
    <row r="714" spans="1:50" ht="15.75" customHeight="1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  <c r="AC714" s="222"/>
      <c r="AD714" s="222"/>
      <c r="AE714" s="222"/>
      <c r="AF714" s="222"/>
      <c r="AG714" s="222"/>
      <c r="AH714" s="222"/>
      <c r="AI714" s="222"/>
      <c r="AJ714" s="222"/>
      <c r="AK714" s="222"/>
      <c r="AL714" s="222"/>
      <c r="AM714" s="222"/>
      <c r="AN714" s="222"/>
      <c r="AO714" s="222"/>
      <c r="AP714" s="222"/>
      <c r="AQ714" s="222"/>
      <c r="AR714" s="222"/>
      <c r="AS714" s="222"/>
      <c r="AT714" s="222"/>
      <c r="AU714" s="222"/>
      <c r="AV714" s="222"/>
      <c r="AW714" s="222"/>
      <c r="AX714" s="222"/>
    </row>
    <row r="715" spans="1:50" ht="15.75" customHeight="1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  <c r="AE715" s="222"/>
      <c r="AF715" s="222"/>
      <c r="AG715" s="222"/>
      <c r="AH715" s="222"/>
      <c r="AI715" s="222"/>
      <c r="AJ715" s="222"/>
      <c r="AK715" s="222"/>
      <c r="AL715" s="222"/>
      <c r="AM715" s="222"/>
      <c r="AN715" s="222"/>
      <c r="AO715" s="222"/>
      <c r="AP715" s="222"/>
      <c r="AQ715" s="222"/>
      <c r="AR715" s="222"/>
      <c r="AS715" s="222"/>
      <c r="AT715" s="222"/>
      <c r="AU715" s="222"/>
      <c r="AV715" s="222"/>
      <c r="AW715" s="222"/>
      <c r="AX715" s="222"/>
    </row>
    <row r="716" spans="1:50" ht="15.75" customHeight="1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  <c r="AE716" s="222"/>
      <c r="AF716" s="222"/>
      <c r="AG716" s="222"/>
      <c r="AH716" s="222"/>
      <c r="AI716" s="222"/>
      <c r="AJ716" s="222"/>
      <c r="AK716" s="222"/>
      <c r="AL716" s="222"/>
      <c r="AM716" s="222"/>
      <c r="AN716" s="222"/>
      <c r="AO716" s="222"/>
      <c r="AP716" s="222"/>
      <c r="AQ716" s="222"/>
      <c r="AR716" s="222"/>
      <c r="AS716" s="222"/>
      <c r="AT716" s="222"/>
      <c r="AU716" s="222"/>
      <c r="AV716" s="222"/>
      <c r="AW716" s="222"/>
      <c r="AX716" s="222"/>
    </row>
    <row r="717" spans="1:50" ht="15.75" customHeight="1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  <c r="AE717" s="222"/>
      <c r="AF717" s="222"/>
      <c r="AG717" s="222"/>
      <c r="AH717" s="222"/>
      <c r="AI717" s="222"/>
      <c r="AJ717" s="222"/>
      <c r="AK717" s="222"/>
      <c r="AL717" s="222"/>
      <c r="AM717" s="222"/>
      <c r="AN717" s="222"/>
      <c r="AO717" s="222"/>
      <c r="AP717" s="222"/>
      <c r="AQ717" s="222"/>
      <c r="AR717" s="222"/>
      <c r="AS717" s="222"/>
      <c r="AT717" s="222"/>
      <c r="AU717" s="222"/>
      <c r="AV717" s="222"/>
      <c r="AW717" s="222"/>
      <c r="AX717" s="222"/>
    </row>
    <row r="718" spans="1:50" ht="15.75" customHeight="1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  <c r="AE718" s="222"/>
      <c r="AF718" s="222"/>
      <c r="AG718" s="222"/>
      <c r="AH718" s="222"/>
      <c r="AI718" s="222"/>
      <c r="AJ718" s="222"/>
      <c r="AK718" s="222"/>
      <c r="AL718" s="222"/>
      <c r="AM718" s="222"/>
      <c r="AN718" s="222"/>
      <c r="AO718" s="222"/>
      <c r="AP718" s="222"/>
      <c r="AQ718" s="222"/>
      <c r="AR718" s="222"/>
      <c r="AS718" s="222"/>
      <c r="AT718" s="222"/>
      <c r="AU718" s="222"/>
      <c r="AV718" s="222"/>
      <c r="AW718" s="222"/>
      <c r="AX718" s="222"/>
    </row>
    <row r="719" spans="1:50" ht="15.75" customHeight="1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  <c r="AE719" s="222"/>
      <c r="AF719" s="222"/>
      <c r="AG719" s="222"/>
      <c r="AH719" s="222"/>
      <c r="AI719" s="222"/>
      <c r="AJ719" s="222"/>
      <c r="AK719" s="222"/>
      <c r="AL719" s="222"/>
      <c r="AM719" s="222"/>
      <c r="AN719" s="222"/>
      <c r="AO719" s="222"/>
      <c r="AP719" s="222"/>
      <c r="AQ719" s="222"/>
      <c r="AR719" s="222"/>
      <c r="AS719" s="222"/>
      <c r="AT719" s="222"/>
      <c r="AU719" s="222"/>
      <c r="AV719" s="222"/>
      <c r="AW719" s="222"/>
      <c r="AX719" s="222"/>
    </row>
    <row r="720" spans="1:50" ht="15.75" customHeight="1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  <c r="AE720" s="222"/>
      <c r="AF720" s="222"/>
      <c r="AG720" s="222"/>
      <c r="AH720" s="222"/>
      <c r="AI720" s="222"/>
      <c r="AJ720" s="222"/>
      <c r="AK720" s="222"/>
      <c r="AL720" s="222"/>
      <c r="AM720" s="222"/>
      <c r="AN720" s="222"/>
      <c r="AO720" s="222"/>
      <c r="AP720" s="222"/>
      <c r="AQ720" s="222"/>
      <c r="AR720" s="222"/>
      <c r="AS720" s="222"/>
      <c r="AT720" s="222"/>
      <c r="AU720" s="222"/>
      <c r="AV720" s="222"/>
      <c r="AW720" s="222"/>
      <c r="AX720" s="222"/>
    </row>
    <row r="721" spans="1:50" ht="15.75" customHeight="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  <c r="AE721" s="222"/>
      <c r="AF721" s="222"/>
      <c r="AG721" s="222"/>
      <c r="AH721" s="222"/>
      <c r="AI721" s="222"/>
      <c r="AJ721" s="222"/>
      <c r="AK721" s="222"/>
      <c r="AL721" s="222"/>
      <c r="AM721" s="222"/>
      <c r="AN721" s="222"/>
      <c r="AO721" s="222"/>
      <c r="AP721" s="222"/>
      <c r="AQ721" s="222"/>
      <c r="AR721" s="222"/>
      <c r="AS721" s="222"/>
      <c r="AT721" s="222"/>
      <c r="AU721" s="222"/>
      <c r="AV721" s="222"/>
      <c r="AW721" s="222"/>
      <c r="AX721" s="222"/>
    </row>
    <row r="722" spans="1:50" ht="15.75" customHeight="1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  <c r="AE722" s="222"/>
      <c r="AF722" s="222"/>
      <c r="AG722" s="222"/>
      <c r="AH722" s="222"/>
      <c r="AI722" s="222"/>
      <c r="AJ722" s="222"/>
      <c r="AK722" s="222"/>
      <c r="AL722" s="222"/>
      <c r="AM722" s="222"/>
      <c r="AN722" s="222"/>
      <c r="AO722" s="222"/>
      <c r="AP722" s="222"/>
      <c r="AQ722" s="222"/>
      <c r="AR722" s="222"/>
      <c r="AS722" s="222"/>
      <c r="AT722" s="222"/>
      <c r="AU722" s="222"/>
      <c r="AV722" s="222"/>
      <c r="AW722" s="222"/>
      <c r="AX722" s="222"/>
    </row>
    <row r="723" spans="1:50" ht="15.75" customHeight="1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  <c r="AE723" s="222"/>
      <c r="AF723" s="222"/>
      <c r="AG723" s="222"/>
      <c r="AH723" s="222"/>
      <c r="AI723" s="222"/>
      <c r="AJ723" s="222"/>
      <c r="AK723" s="222"/>
      <c r="AL723" s="222"/>
      <c r="AM723" s="222"/>
      <c r="AN723" s="222"/>
      <c r="AO723" s="222"/>
      <c r="AP723" s="222"/>
      <c r="AQ723" s="222"/>
      <c r="AR723" s="222"/>
      <c r="AS723" s="222"/>
      <c r="AT723" s="222"/>
      <c r="AU723" s="222"/>
      <c r="AV723" s="222"/>
      <c r="AW723" s="222"/>
      <c r="AX723" s="222"/>
    </row>
    <row r="724" spans="1:50" ht="15.75" customHeight="1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  <c r="AE724" s="222"/>
      <c r="AF724" s="222"/>
      <c r="AG724" s="222"/>
      <c r="AH724" s="222"/>
      <c r="AI724" s="222"/>
      <c r="AJ724" s="222"/>
      <c r="AK724" s="222"/>
      <c r="AL724" s="222"/>
      <c r="AM724" s="222"/>
      <c r="AN724" s="222"/>
      <c r="AO724" s="222"/>
      <c r="AP724" s="222"/>
      <c r="AQ724" s="222"/>
      <c r="AR724" s="222"/>
      <c r="AS724" s="222"/>
      <c r="AT724" s="222"/>
      <c r="AU724" s="222"/>
      <c r="AV724" s="222"/>
      <c r="AW724" s="222"/>
      <c r="AX724" s="222"/>
    </row>
    <row r="725" spans="1:50" ht="15.75" customHeight="1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  <c r="AE725" s="222"/>
      <c r="AF725" s="222"/>
      <c r="AG725" s="222"/>
      <c r="AH725" s="222"/>
      <c r="AI725" s="222"/>
      <c r="AJ725" s="222"/>
      <c r="AK725" s="222"/>
      <c r="AL725" s="222"/>
      <c r="AM725" s="222"/>
      <c r="AN725" s="222"/>
      <c r="AO725" s="222"/>
      <c r="AP725" s="222"/>
      <c r="AQ725" s="222"/>
      <c r="AR725" s="222"/>
      <c r="AS725" s="222"/>
      <c r="AT725" s="222"/>
      <c r="AU725" s="222"/>
      <c r="AV725" s="222"/>
      <c r="AW725" s="222"/>
      <c r="AX725" s="222"/>
    </row>
    <row r="726" spans="1:50" ht="15.75" customHeight="1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  <c r="AE726" s="222"/>
      <c r="AF726" s="222"/>
      <c r="AG726" s="222"/>
      <c r="AH726" s="222"/>
      <c r="AI726" s="222"/>
      <c r="AJ726" s="222"/>
      <c r="AK726" s="222"/>
      <c r="AL726" s="222"/>
      <c r="AM726" s="222"/>
      <c r="AN726" s="222"/>
      <c r="AO726" s="222"/>
      <c r="AP726" s="222"/>
      <c r="AQ726" s="222"/>
      <c r="AR726" s="222"/>
      <c r="AS726" s="222"/>
      <c r="AT726" s="222"/>
      <c r="AU726" s="222"/>
      <c r="AV726" s="222"/>
      <c r="AW726" s="222"/>
      <c r="AX726" s="222"/>
    </row>
    <row r="727" spans="1:50" ht="15.75" customHeight="1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  <c r="AE727" s="222"/>
      <c r="AF727" s="222"/>
      <c r="AG727" s="222"/>
      <c r="AH727" s="222"/>
      <c r="AI727" s="222"/>
      <c r="AJ727" s="222"/>
      <c r="AK727" s="222"/>
      <c r="AL727" s="222"/>
      <c r="AM727" s="222"/>
      <c r="AN727" s="222"/>
      <c r="AO727" s="222"/>
      <c r="AP727" s="222"/>
      <c r="AQ727" s="222"/>
      <c r="AR727" s="222"/>
      <c r="AS727" s="222"/>
      <c r="AT727" s="222"/>
      <c r="AU727" s="222"/>
      <c r="AV727" s="222"/>
      <c r="AW727" s="222"/>
      <c r="AX727" s="222"/>
    </row>
    <row r="728" spans="1:50" ht="15.75" customHeight="1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  <c r="AE728" s="222"/>
      <c r="AF728" s="222"/>
      <c r="AG728" s="222"/>
      <c r="AH728" s="222"/>
      <c r="AI728" s="222"/>
      <c r="AJ728" s="222"/>
      <c r="AK728" s="222"/>
      <c r="AL728" s="222"/>
      <c r="AM728" s="222"/>
      <c r="AN728" s="222"/>
      <c r="AO728" s="222"/>
      <c r="AP728" s="222"/>
      <c r="AQ728" s="222"/>
      <c r="AR728" s="222"/>
      <c r="AS728" s="222"/>
      <c r="AT728" s="222"/>
      <c r="AU728" s="222"/>
      <c r="AV728" s="222"/>
      <c r="AW728" s="222"/>
      <c r="AX728" s="222"/>
    </row>
    <row r="729" spans="1:50" ht="15.75" customHeight="1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  <c r="AE729" s="222"/>
      <c r="AF729" s="222"/>
      <c r="AG729" s="222"/>
      <c r="AH729" s="222"/>
      <c r="AI729" s="222"/>
      <c r="AJ729" s="222"/>
      <c r="AK729" s="222"/>
      <c r="AL729" s="222"/>
      <c r="AM729" s="222"/>
      <c r="AN729" s="222"/>
      <c r="AO729" s="222"/>
      <c r="AP729" s="222"/>
      <c r="AQ729" s="222"/>
      <c r="AR729" s="222"/>
      <c r="AS729" s="222"/>
      <c r="AT729" s="222"/>
      <c r="AU729" s="222"/>
      <c r="AV729" s="222"/>
      <c r="AW729" s="222"/>
      <c r="AX729" s="222"/>
    </row>
    <row r="730" spans="1:50" ht="15.75" customHeight="1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  <c r="AE730" s="222"/>
      <c r="AF730" s="222"/>
      <c r="AG730" s="222"/>
      <c r="AH730" s="222"/>
      <c r="AI730" s="222"/>
      <c r="AJ730" s="222"/>
      <c r="AK730" s="222"/>
      <c r="AL730" s="222"/>
      <c r="AM730" s="222"/>
      <c r="AN730" s="222"/>
      <c r="AO730" s="222"/>
      <c r="AP730" s="222"/>
      <c r="AQ730" s="222"/>
      <c r="AR730" s="222"/>
      <c r="AS730" s="222"/>
      <c r="AT730" s="222"/>
      <c r="AU730" s="222"/>
      <c r="AV730" s="222"/>
      <c r="AW730" s="222"/>
      <c r="AX730" s="222"/>
    </row>
    <row r="731" spans="1:50" ht="15.75" customHeight="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  <c r="AE731" s="222"/>
      <c r="AF731" s="222"/>
      <c r="AG731" s="222"/>
      <c r="AH731" s="222"/>
      <c r="AI731" s="222"/>
      <c r="AJ731" s="222"/>
      <c r="AK731" s="222"/>
      <c r="AL731" s="222"/>
      <c r="AM731" s="222"/>
      <c r="AN731" s="222"/>
      <c r="AO731" s="222"/>
      <c r="AP731" s="222"/>
      <c r="AQ731" s="222"/>
      <c r="AR731" s="222"/>
      <c r="AS731" s="222"/>
      <c r="AT731" s="222"/>
      <c r="AU731" s="222"/>
      <c r="AV731" s="222"/>
      <c r="AW731" s="222"/>
      <c r="AX731" s="222"/>
    </row>
    <row r="732" spans="1:50" ht="15.75" customHeight="1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  <c r="AE732" s="222"/>
      <c r="AF732" s="222"/>
      <c r="AG732" s="222"/>
      <c r="AH732" s="222"/>
      <c r="AI732" s="222"/>
      <c r="AJ732" s="222"/>
      <c r="AK732" s="222"/>
      <c r="AL732" s="222"/>
      <c r="AM732" s="222"/>
      <c r="AN732" s="222"/>
      <c r="AO732" s="222"/>
      <c r="AP732" s="222"/>
      <c r="AQ732" s="222"/>
      <c r="AR732" s="222"/>
      <c r="AS732" s="222"/>
      <c r="AT732" s="222"/>
      <c r="AU732" s="222"/>
      <c r="AV732" s="222"/>
      <c r="AW732" s="222"/>
      <c r="AX732" s="222"/>
    </row>
    <row r="733" spans="1:50" ht="15.75" customHeight="1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  <c r="AE733" s="222"/>
      <c r="AF733" s="222"/>
      <c r="AG733" s="222"/>
      <c r="AH733" s="222"/>
      <c r="AI733" s="222"/>
      <c r="AJ733" s="222"/>
      <c r="AK733" s="222"/>
      <c r="AL733" s="222"/>
      <c r="AM733" s="222"/>
      <c r="AN733" s="222"/>
      <c r="AO733" s="222"/>
      <c r="AP733" s="222"/>
      <c r="AQ733" s="222"/>
      <c r="AR733" s="222"/>
      <c r="AS733" s="222"/>
      <c r="AT733" s="222"/>
      <c r="AU733" s="222"/>
      <c r="AV733" s="222"/>
      <c r="AW733" s="222"/>
      <c r="AX733" s="222"/>
    </row>
    <row r="734" spans="1:50" ht="15.75" customHeight="1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  <c r="AE734" s="222"/>
      <c r="AF734" s="222"/>
      <c r="AG734" s="222"/>
      <c r="AH734" s="222"/>
      <c r="AI734" s="222"/>
      <c r="AJ734" s="222"/>
      <c r="AK734" s="222"/>
      <c r="AL734" s="222"/>
      <c r="AM734" s="222"/>
      <c r="AN734" s="222"/>
      <c r="AO734" s="222"/>
      <c r="AP734" s="222"/>
      <c r="AQ734" s="222"/>
      <c r="AR734" s="222"/>
      <c r="AS734" s="222"/>
      <c r="AT734" s="222"/>
      <c r="AU734" s="222"/>
      <c r="AV734" s="222"/>
      <c r="AW734" s="222"/>
      <c r="AX734" s="222"/>
    </row>
    <row r="735" spans="1:50" ht="15.75" customHeight="1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  <c r="AE735" s="222"/>
      <c r="AF735" s="222"/>
      <c r="AG735" s="222"/>
      <c r="AH735" s="222"/>
      <c r="AI735" s="222"/>
      <c r="AJ735" s="222"/>
      <c r="AK735" s="222"/>
      <c r="AL735" s="222"/>
      <c r="AM735" s="222"/>
      <c r="AN735" s="222"/>
      <c r="AO735" s="222"/>
      <c r="AP735" s="222"/>
      <c r="AQ735" s="222"/>
      <c r="AR735" s="222"/>
      <c r="AS735" s="222"/>
      <c r="AT735" s="222"/>
      <c r="AU735" s="222"/>
      <c r="AV735" s="222"/>
      <c r="AW735" s="222"/>
      <c r="AX735" s="222"/>
    </row>
    <row r="736" spans="1:50" ht="15.75" customHeight="1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  <c r="AE736" s="222"/>
      <c r="AF736" s="222"/>
      <c r="AG736" s="222"/>
      <c r="AH736" s="222"/>
      <c r="AI736" s="222"/>
      <c r="AJ736" s="222"/>
      <c r="AK736" s="222"/>
      <c r="AL736" s="222"/>
      <c r="AM736" s="222"/>
      <c r="AN736" s="222"/>
      <c r="AO736" s="222"/>
      <c r="AP736" s="222"/>
      <c r="AQ736" s="222"/>
      <c r="AR736" s="222"/>
      <c r="AS736" s="222"/>
      <c r="AT736" s="222"/>
      <c r="AU736" s="222"/>
      <c r="AV736" s="222"/>
      <c r="AW736" s="222"/>
      <c r="AX736" s="222"/>
    </row>
    <row r="737" spans="1:50" ht="15.75" customHeight="1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  <c r="AM737" s="222"/>
      <c r="AN737" s="222"/>
      <c r="AO737" s="222"/>
      <c r="AP737" s="222"/>
      <c r="AQ737" s="222"/>
      <c r="AR737" s="222"/>
      <c r="AS737" s="222"/>
      <c r="AT737" s="222"/>
      <c r="AU737" s="222"/>
      <c r="AV737" s="222"/>
      <c r="AW737" s="222"/>
      <c r="AX737" s="222"/>
    </row>
    <row r="738" spans="1:50" ht="15.75" customHeight="1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  <c r="AE738" s="222"/>
      <c r="AF738" s="222"/>
      <c r="AG738" s="222"/>
      <c r="AH738" s="222"/>
      <c r="AI738" s="222"/>
      <c r="AJ738" s="222"/>
      <c r="AK738" s="222"/>
      <c r="AL738" s="222"/>
      <c r="AM738" s="222"/>
      <c r="AN738" s="222"/>
      <c r="AO738" s="222"/>
      <c r="AP738" s="222"/>
      <c r="AQ738" s="222"/>
      <c r="AR738" s="222"/>
      <c r="AS738" s="222"/>
      <c r="AT738" s="222"/>
      <c r="AU738" s="222"/>
      <c r="AV738" s="222"/>
      <c r="AW738" s="222"/>
      <c r="AX738" s="222"/>
    </row>
    <row r="739" spans="1:50" ht="15.75" customHeight="1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  <c r="AE739" s="222"/>
      <c r="AF739" s="222"/>
      <c r="AG739" s="222"/>
      <c r="AH739" s="222"/>
      <c r="AI739" s="222"/>
      <c r="AJ739" s="222"/>
      <c r="AK739" s="222"/>
      <c r="AL739" s="222"/>
      <c r="AM739" s="222"/>
      <c r="AN739" s="222"/>
      <c r="AO739" s="222"/>
      <c r="AP739" s="222"/>
      <c r="AQ739" s="222"/>
      <c r="AR739" s="222"/>
      <c r="AS739" s="222"/>
      <c r="AT739" s="222"/>
      <c r="AU739" s="222"/>
      <c r="AV739" s="222"/>
      <c r="AW739" s="222"/>
      <c r="AX739" s="222"/>
    </row>
    <row r="740" spans="1:50" ht="15.75" customHeight="1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  <c r="AE740" s="222"/>
      <c r="AF740" s="222"/>
      <c r="AG740" s="222"/>
      <c r="AH740" s="222"/>
      <c r="AI740" s="222"/>
      <c r="AJ740" s="222"/>
      <c r="AK740" s="222"/>
      <c r="AL740" s="222"/>
      <c r="AM740" s="222"/>
      <c r="AN740" s="222"/>
      <c r="AO740" s="222"/>
      <c r="AP740" s="222"/>
      <c r="AQ740" s="222"/>
      <c r="AR740" s="222"/>
      <c r="AS740" s="222"/>
      <c r="AT740" s="222"/>
      <c r="AU740" s="222"/>
      <c r="AV740" s="222"/>
      <c r="AW740" s="222"/>
      <c r="AX740" s="222"/>
    </row>
    <row r="741" spans="1:50" ht="15.75" customHeight="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  <c r="AF741" s="222"/>
      <c r="AG741" s="222"/>
      <c r="AH741" s="222"/>
      <c r="AI741" s="222"/>
      <c r="AJ741" s="222"/>
      <c r="AK741" s="222"/>
      <c r="AL741" s="222"/>
      <c r="AM741" s="222"/>
      <c r="AN741" s="222"/>
      <c r="AO741" s="222"/>
      <c r="AP741" s="222"/>
      <c r="AQ741" s="222"/>
      <c r="AR741" s="222"/>
      <c r="AS741" s="222"/>
      <c r="AT741" s="222"/>
      <c r="AU741" s="222"/>
      <c r="AV741" s="222"/>
      <c r="AW741" s="222"/>
      <c r="AX741" s="222"/>
    </row>
    <row r="742" spans="1:50" ht="15.75" customHeight="1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  <c r="AE742" s="222"/>
      <c r="AF742" s="222"/>
      <c r="AG742" s="222"/>
      <c r="AH742" s="222"/>
      <c r="AI742" s="222"/>
      <c r="AJ742" s="222"/>
      <c r="AK742" s="222"/>
      <c r="AL742" s="222"/>
      <c r="AM742" s="222"/>
      <c r="AN742" s="222"/>
      <c r="AO742" s="222"/>
      <c r="AP742" s="222"/>
      <c r="AQ742" s="222"/>
      <c r="AR742" s="222"/>
      <c r="AS742" s="222"/>
      <c r="AT742" s="222"/>
      <c r="AU742" s="222"/>
      <c r="AV742" s="222"/>
      <c r="AW742" s="222"/>
      <c r="AX742" s="222"/>
    </row>
    <row r="743" spans="1:50" ht="15.75" customHeight="1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  <c r="AE743" s="222"/>
      <c r="AF743" s="222"/>
      <c r="AG743" s="222"/>
      <c r="AH743" s="222"/>
      <c r="AI743" s="222"/>
      <c r="AJ743" s="222"/>
      <c r="AK743" s="222"/>
      <c r="AL743" s="222"/>
      <c r="AM743" s="222"/>
      <c r="AN743" s="222"/>
      <c r="AO743" s="222"/>
      <c r="AP743" s="222"/>
      <c r="AQ743" s="222"/>
      <c r="AR743" s="222"/>
      <c r="AS743" s="222"/>
      <c r="AT743" s="222"/>
      <c r="AU743" s="222"/>
      <c r="AV743" s="222"/>
      <c r="AW743" s="222"/>
      <c r="AX743" s="222"/>
    </row>
    <row r="744" spans="1:50" ht="15.75" customHeight="1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  <c r="AE744" s="222"/>
      <c r="AF744" s="222"/>
      <c r="AG744" s="222"/>
      <c r="AH744" s="222"/>
      <c r="AI744" s="222"/>
      <c r="AJ744" s="222"/>
      <c r="AK744" s="222"/>
      <c r="AL744" s="222"/>
      <c r="AM744" s="222"/>
      <c r="AN744" s="222"/>
      <c r="AO744" s="222"/>
      <c r="AP744" s="222"/>
      <c r="AQ744" s="222"/>
      <c r="AR744" s="222"/>
      <c r="AS744" s="222"/>
      <c r="AT744" s="222"/>
      <c r="AU744" s="222"/>
      <c r="AV744" s="222"/>
      <c r="AW744" s="222"/>
      <c r="AX744" s="222"/>
    </row>
    <row r="745" spans="1:50" ht="15.75" customHeight="1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  <c r="AE745" s="222"/>
      <c r="AF745" s="222"/>
      <c r="AG745" s="222"/>
      <c r="AH745" s="222"/>
      <c r="AI745" s="222"/>
      <c r="AJ745" s="222"/>
      <c r="AK745" s="222"/>
      <c r="AL745" s="222"/>
      <c r="AM745" s="222"/>
      <c r="AN745" s="222"/>
      <c r="AO745" s="222"/>
      <c r="AP745" s="222"/>
      <c r="AQ745" s="222"/>
      <c r="AR745" s="222"/>
      <c r="AS745" s="222"/>
      <c r="AT745" s="222"/>
      <c r="AU745" s="222"/>
      <c r="AV745" s="222"/>
      <c r="AW745" s="222"/>
      <c r="AX745" s="222"/>
    </row>
    <row r="746" spans="1:50" ht="15.75" customHeight="1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  <c r="AM746" s="222"/>
      <c r="AN746" s="222"/>
      <c r="AO746" s="222"/>
      <c r="AP746" s="222"/>
      <c r="AQ746" s="222"/>
      <c r="AR746" s="222"/>
      <c r="AS746" s="222"/>
      <c r="AT746" s="222"/>
      <c r="AU746" s="222"/>
      <c r="AV746" s="222"/>
      <c r="AW746" s="222"/>
      <c r="AX746" s="222"/>
    </row>
    <row r="747" spans="1:50" ht="15.75" customHeight="1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  <c r="AE747" s="222"/>
      <c r="AF747" s="222"/>
      <c r="AG747" s="222"/>
      <c r="AH747" s="222"/>
      <c r="AI747" s="222"/>
      <c r="AJ747" s="222"/>
      <c r="AK747" s="222"/>
      <c r="AL747" s="222"/>
      <c r="AM747" s="222"/>
      <c r="AN747" s="222"/>
      <c r="AO747" s="222"/>
      <c r="AP747" s="222"/>
      <c r="AQ747" s="222"/>
      <c r="AR747" s="222"/>
      <c r="AS747" s="222"/>
      <c r="AT747" s="222"/>
      <c r="AU747" s="222"/>
      <c r="AV747" s="222"/>
      <c r="AW747" s="222"/>
      <c r="AX747" s="222"/>
    </row>
    <row r="748" spans="1:50" ht="15.75" customHeight="1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  <c r="AE748" s="222"/>
      <c r="AF748" s="222"/>
      <c r="AG748" s="222"/>
      <c r="AH748" s="222"/>
      <c r="AI748" s="222"/>
      <c r="AJ748" s="222"/>
      <c r="AK748" s="222"/>
      <c r="AL748" s="222"/>
      <c r="AM748" s="222"/>
      <c r="AN748" s="222"/>
      <c r="AO748" s="222"/>
      <c r="AP748" s="222"/>
      <c r="AQ748" s="222"/>
      <c r="AR748" s="222"/>
      <c r="AS748" s="222"/>
      <c r="AT748" s="222"/>
      <c r="AU748" s="222"/>
      <c r="AV748" s="222"/>
      <c r="AW748" s="222"/>
      <c r="AX748" s="222"/>
    </row>
    <row r="749" spans="1:50" ht="15.75" customHeight="1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  <c r="AE749" s="222"/>
      <c r="AF749" s="222"/>
      <c r="AG749" s="222"/>
      <c r="AH749" s="222"/>
      <c r="AI749" s="222"/>
      <c r="AJ749" s="222"/>
      <c r="AK749" s="222"/>
      <c r="AL749" s="222"/>
      <c r="AM749" s="222"/>
      <c r="AN749" s="222"/>
      <c r="AO749" s="222"/>
      <c r="AP749" s="222"/>
      <c r="AQ749" s="222"/>
      <c r="AR749" s="222"/>
      <c r="AS749" s="222"/>
      <c r="AT749" s="222"/>
      <c r="AU749" s="222"/>
      <c r="AV749" s="222"/>
      <c r="AW749" s="222"/>
      <c r="AX749" s="222"/>
    </row>
    <row r="750" spans="1:50" ht="15.75" customHeight="1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  <c r="AE750" s="222"/>
      <c r="AF750" s="222"/>
      <c r="AG750" s="222"/>
      <c r="AH750" s="222"/>
      <c r="AI750" s="222"/>
      <c r="AJ750" s="222"/>
      <c r="AK750" s="222"/>
      <c r="AL750" s="222"/>
      <c r="AM750" s="222"/>
      <c r="AN750" s="222"/>
      <c r="AO750" s="222"/>
      <c r="AP750" s="222"/>
      <c r="AQ750" s="222"/>
      <c r="AR750" s="222"/>
      <c r="AS750" s="222"/>
      <c r="AT750" s="222"/>
      <c r="AU750" s="222"/>
      <c r="AV750" s="222"/>
      <c r="AW750" s="222"/>
      <c r="AX750" s="222"/>
    </row>
    <row r="751" spans="1:50" ht="15.75" customHeight="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  <c r="AE751" s="222"/>
      <c r="AF751" s="222"/>
      <c r="AG751" s="222"/>
      <c r="AH751" s="222"/>
      <c r="AI751" s="222"/>
      <c r="AJ751" s="222"/>
      <c r="AK751" s="222"/>
      <c r="AL751" s="222"/>
      <c r="AM751" s="222"/>
      <c r="AN751" s="222"/>
      <c r="AO751" s="222"/>
      <c r="AP751" s="222"/>
      <c r="AQ751" s="222"/>
      <c r="AR751" s="222"/>
      <c r="AS751" s="222"/>
      <c r="AT751" s="222"/>
      <c r="AU751" s="222"/>
      <c r="AV751" s="222"/>
      <c r="AW751" s="222"/>
      <c r="AX751" s="222"/>
    </row>
    <row r="752" spans="1:50" ht="15.75" customHeight="1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  <c r="AE752" s="222"/>
      <c r="AF752" s="222"/>
      <c r="AG752" s="222"/>
      <c r="AH752" s="222"/>
      <c r="AI752" s="222"/>
      <c r="AJ752" s="222"/>
      <c r="AK752" s="222"/>
      <c r="AL752" s="222"/>
      <c r="AM752" s="222"/>
      <c r="AN752" s="222"/>
      <c r="AO752" s="222"/>
      <c r="AP752" s="222"/>
      <c r="AQ752" s="222"/>
      <c r="AR752" s="222"/>
      <c r="AS752" s="222"/>
      <c r="AT752" s="222"/>
      <c r="AU752" s="222"/>
      <c r="AV752" s="222"/>
      <c r="AW752" s="222"/>
      <c r="AX752" s="222"/>
    </row>
    <row r="753" spans="1:50" ht="15.75" customHeight="1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  <c r="AE753" s="222"/>
      <c r="AF753" s="222"/>
      <c r="AG753" s="222"/>
      <c r="AH753" s="222"/>
      <c r="AI753" s="222"/>
      <c r="AJ753" s="222"/>
      <c r="AK753" s="222"/>
      <c r="AL753" s="222"/>
      <c r="AM753" s="222"/>
      <c r="AN753" s="222"/>
      <c r="AO753" s="222"/>
      <c r="AP753" s="222"/>
      <c r="AQ753" s="222"/>
      <c r="AR753" s="222"/>
      <c r="AS753" s="222"/>
      <c r="AT753" s="222"/>
      <c r="AU753" s="222"/>
      <c r="AV753" s="222"/>
      <c r="AW753" s="222"/>
      <c r="AX753" s="222"/>
    </row>
    <row r="754" spans="1:50" ht="15.75" customHeight="1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  <c r="AE754" s="222"/>
      <c r="AF754" s="222"/>
      <c r="AG754" s="222"/>
      <c r="AH754" s="222"/>
      <c r="AI754" s="222"/>
      <c r="AJ754" s="222"/>
      <c r="AK754" s="222"/>
      <c r="AL754" s="222"/>
      <c r="AM754" s="222"/>
      <c r="AN754" s="222"/>
      <c r="AO754" s="222"/>
      <c r="AP754" s="222"/>
      <c r="AQ754" s="222"/>
      <c r="AR754" s="222"/>
      <c r="AS754" s="222"/>
      <c r="AT754" s="222"/>
      <c r="AU754" s="222"/>
      <c r="AV754" s="222"/>
      <c r="AW754" s="222"/>
      <c r="AX754" s="222"/>
    </row>
    <row r="755" spans="1:50" ht="15.75" customHeight="1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  <c r="AE755" s="222"/>
      <c r="AF755" s="222"/>
      <c r="AG755" s="222"/>
      <c r="AH755" s="222"/>
      <c r="AI755" s="222"/>
      <c r="AJ755" s="222"/>
      <c r="AK755" s="222"/>
      <c r="AL755" s="222"/>
      <c r="AM755" s="222"/>
      <c r="AN755" s="222"/>
      <c r="AO755" s="222"/>
      <c r="AP755" s="222"/>
      <c r="AQ755" s="222"/>
      <c r="AR755" s="222"/>
      <c r="AS755" s="222"/>
      <c r="AT755" s="222"/>
      <c r="AU755" s="222"/>
      <c r="AV755" s="222"/>
      <c r="AW755" s="222"/>
      <c r="AX755" s="222"/>
    </row>
    <row r="756" spans="1:50" ht="15.75" customHeight="1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  <c r="AE756" s="222"/>
      <c r="AF756" s="222"/>
      <c r="AG756" s="222"/>
      <c r="AH756" s="222"/>
      <c r="AI756" s="222"/>
      <c r="AJ756" s="222"/>
      <c r="AK756" s="222"/>
      <c r="AL756" s="222"/>
      <c r="AM756" s="222"/>
      <c r="AN756" s="222"/>
      <c r="AO756" s="222"/>
      <c r="AP756" s="222"/>
      <c r="AQ756" s="222"/>
      <c r="AR756" s="222"/>
      <c r="AS756" s="222"/>
      <c r="AT756" s="222"/>
      <c r="AU756" s="222"/>
      <c r="AV756" s="222"/>
      <c r="AW756" s="222"/>
      <c r="AX756" s="222"/>
    </row>
    <row r="757" spans="1:50" ht="15.75" customHeight="1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  <c r="AE757" s="222"/>
      <c r="AF757" s="222"/>
      <c r="AG757" s="222"/>
      <c r="AH757" s="222"/>
      <c r="AI757" s="222"/>
      <c r="AJ757" s="222"/>
      <c r="AK757" s="222"/>
      <c r="AL757" s="222"/>
      <c r="AM757" s="222"/>
      <c r="AN757" s="222"/>
      <c r="AO757" s="222"/>
      <c r="AP757" s="222"/>
      <c r="AQ757" s="222"/>
      <c r="AR757" s="222"/>
      <c r="AS757" s="222"/>
      <c r="AT757" s="222"/>
      <c r="AU757" s="222"/>
      <c r="AV757" s="222"/>
      <c r="AW757" s="222"/>
      <c r="AX757" s="222"/>
    </row>
    <row r="758" spans="1:50" ht="15.75" customHeight="1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  <c r="AE758" s="222"/>
      <c r="AF758" s="222"/>
      <c r="AG758" s="222"/>
      <c r="AH758" s="222"/>
      <c r="AI758" s="222"/>
      <c r="AJ758" s="222"/>
      <c r="AK758" s="222"/>
      <c r="AL758" s="222"/>
      <c r="AM758" s="222"/>
      <c r="AN758" s="222"/>
      <c r="AO758" s="222"/>
      <c r="AP758" s="222"/>
      <c r="AQ758" s="222"/>
      <c r="AR758" s="222"/>
      <c r="AS758" s="222"/>
      <c r="AT758" s="222"/>
      <c r="AU758" s="222"/>
      <c r="AV758" s="222"/>
      <c r="AW758" s="222"/>
      <c r="AX758" s="222"/>
    </row>
    <row r="759" spans="1:50" ht="15.75" customHeight="1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  <c r="AE759" s="222"/>
      <c r="AF759" s="222"/>
      <c r="AG759" s="222"/>
      <c r="AH759" s="222"/>
      <c r="AI759" s="222"/>
      <c r="AJ759" s="222"/>
      <c r="AK759" s="222"/>
      <c r="AL759" s="222"/>
      <c r="AM759" s="222"/>
      <c r="AN759" s="222"/>
      <c r="AO759" s="222"/>
      <c r="AP759" s="222"/>
      <c r="AQ759" s="222"/>
      <c r="AR759" s="222"/>
      <c r="AS759" s="222"/>
      <c r="AT759" s="222"/>
      <c r="AU759" s="222"/>
      <c r="AV759" s="222"/>
      <c r="AW759" s="222"/>
      <c r="AX759" s="222"/>
    </row>
    <row r="760" spans="1:50" ht="15.75" customHeight="1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  <c r="AE760" s="222"/>
      <c r="AF760" s="222"/>
      <c r="AG760" s="222"/>
      <c r="AH760" s="222"/>
      <c r="AI760" s="222"/>
      <c r="AJ760" s="222"/>
      <c r="AK760" s="222"/>
      <c r="AL760" s="222"/>
      <c r="AM760" s="222"/>
      <c r="AN760" s="222"/>
      <c r="AO760" s="222"/>
      <c r="AP760" s="222"/>
      <c r="AQ760" s="222"/>
      <c r="AR760" s="222"/>
      <c r="AS760" s="222"/>
      <c r="AT760" s="222"/>
      <c r="AU760" s="222"/>
      <c r="AV760" s="222"/>
      <c r="AW760" s="222"/>
      <c r="AX760" s="222"/>
    </row>
    <row r="761" spans="1:50" ht="15.75" customHeight="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  <c r="AE761" s="222"/>
      <c r="AF761" s="222"/>
      <c r="AG761" s="222"/>
      <c r="AH761" s="222"/>
      <c r="AI761" s="222"/>
      <c r="AJ761" s="222"/>
      <c r="AK761" s="222"/>
      <c r="AL761" s="222"/>
      <c r="AM761" s="222"/>
      <c r="AN761" s="222"/>
      <c r="AO761" s="222"/>
      <c r="AP761" s="222"/>
      <c r="AQ761" s="222"/>
      <c r="AR761" s="222"/>
      <c r="AS761" s="222"/>
      <c r="AT761" s="222"/>
      <c r="AU761" s="222"/>
      <c r="AV761" s="222"/>
      <c r="AW761" s="222"/>
      <c r="AX761" s="222"/>
    </row>
    <row r="762" spans="1:50" ht="15.75" customHeight="1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  <c r="AE762" s="222"/>
      <c r="AF762" s="222"/>
      <c r="AG762" s="222"/>
      <c r="AH762" s="222"/>
      <c r="AI762" s="222"/>
      <c r="AJ762" s="222"/>
      <c r="AK762" s="222"/>
      <c r="AL762" s="222"/>
      <c r="AM762" s="222"/>
      <c r="AN762" s="222"/>
      <c r="AO762" s="222"/>
      <c r="AP762" s="222"/>
      <c r="AQ762" s="222"/>
      <c r="AR762" s="222"/>
      <c r="AS762" s="222"/>
      <c r="AT762" s="222"/>
      <c r="AU762" s="222"/>
      <c r="AV762" s="222"/>
      <c r="AW762" s="222"/>
      <c r="AX762" s="222"/>
    </row>
    <row r="763" spans="1:50" ht="15.75" customHeight="1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  <c r="AE763" s="222"/>
      <c r="AF763" s="222"/>
      <c r="AG763" s="222"/>
      <c r="AH763" s="222"/>
      <c r="AI763" s="222"/>
      <c r="AJ763" s="222"/>
      <c r="AK763" s="222"/>
      <c r="AL763" s="222"/>
      <c r="AM763" s="222"/>
      <c r="AN763" s="222"/>
      <c r="AO763" s="222"/>
      <c r="AP763" s="222"/>
      <c r="AQ763" s="222"/>
      <c r="AR763" s="222"/>
      <c r="AS763" s="222"/>
      <c r="AT763" s="222"/>
      <c r="AU763" s="222"/>
      <c r="AV763" s="222"/>
      <c r="AW763" s="222"/>
      <c r="AX763" s="222"/>
    </row>
    <row r="764" spans="1:50" ht="15.75" customHeight="1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  <c r="AE764" s="222"/>
      <c r="AF764" s="222"/>
      <c r="AG764" s="222"/>
      <c r="AH764" s="222"/>
      <c r="AI764" s="222"/>
      <c r="AJ764" s="222"/>
      <c r="AK764" s="222"/>
      <c r="AL764" s="222"/>
      <c r="AM764" s="222"/>
      <c r="AN764" s="222"/>
      <c r="AO764" s="222"/>
      <c r="AP764" s="222"/>
      <c r="AQ764" s="222"/>
      <c r="AR764" s="222"/>
      <c r="AS764" s="222"/>
      <c r="AT764" s="222"/>
      <c r="AU764" s="222"/>
      <c r="AV764" s="222"/>
      <c r="AW764" s="222"/>
      <c r="AX764" s="222"/>
    </row>
    <row r="765" spans="1:50" ht="15.75" customHeight="1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  <c r="AE765" s="222"/>
      <c r="AF765" s="222"/>
      <c r="AG765" s="222"/>
      <c r="AH765" s="222"/>
      <c r="AI765" s="222"/>
      <c r="AJ765" s="222"/>
      <c r="AK765" s="222"/>
      <c r="AL765" s="222"/>
      <c r="AM765" s="222"/>
      <c r="AN765" s="222"/>
      <c r="AO765" s="222"/>
      <c r="AP765" s="222"/>
      <c r="AQ765" s="222"/>
      <c r="AR765" s="222"/>
      <c r="AS765" s="222"/>
      <c r="AT765" s="222"/>
      <c r="AU765" s="222"/>
      <c r="AV765" s="222"/>
      <c r="AW765" s="222"/>
      <c r="AX765" s="222"/>
    </row>
    <row r="766" spans="1:50" ht="15.75" customHeight="1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  <c r="AE766" s="222"/>
      <c r="AF766" s="222"/>
      <c r="AG766" s="222"/>
      <c r="AH766" s="222"/>
      <c r="AI766" s="222"/>
      <c r="AJ766" s="222"/>
      <c r="AK766" s="222"/>
      <c r="AL766" s="222"/>
      <c r="AM766" s="222"/>
      <c r="AN766" s="222"/>
      <c r="AO766" s="222"/>
      <c r="AP766" s="222"/>
      <c r="AQ766" s="222"/>
      <c r="AR766" s="222"/>
      <c r="AS766" s="222"/>
      <c r="AT766" s="222"/>
      <c r="AU766" s="222"/>
      <c r="AV766" s="222"/>
      <c r="AW766" s="222"/>
      <c r="AX766" s="222"/>
    </row>
    <row r="767" spans="1:50" ht="15.75" customHeight="1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  <c r="AE767" s="222"/>
      <c r="AF767" s="222"/>
      <c r="AG767" s="222"/>
      <c r="AH767" s="222"/>
      <c r="AI767" s="222"/>
      <c r="AJ767" s="222"/>
      <c r="AK767" s="222"/>
      <c r="AL767" s="222"/>
      <c r="AM767" s="222"/>
      <c r="AN767" s="222"/>
      <c r="AO767" s="222"/>
      <c r="AP767" s="222"/>
      <c r="AQ767" s="222"/>
      <c r="AR767" s="222"/>
      <c r="AS767" s="222"/>
      <c r="AT767" s="222"/>
      <c r="AU767" s="222"/>
      <c r="AV767" s="222"/>
      <c r="AW767" s="222"/>
      <c r="AX767" s="222"/>
    </row>
    <row r="768" spans="1:50" ht="15.75" customHeight="1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  <c r="AM768" s="222"/>
      <c r="AN768" s="222"/>
      <c r="AO768" s="222"/>
      <c r="AP768" s="222"/>
      <c r="AQ768" s="222"/>
      <c r="AR768" s="222"/>
      <c r="AS768" s="222"/>
      <c r="AT768" s="222"/>
      <c r="AU768" s="222"/>
      <c r="AV768" s="222"/>
      <c r="AW768" s="222"/>
      <c r="AX768" s="222"/>
    </row>
    <row r="769" spans="1:50" ht="15.75" customHeight="1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  <c r="AE769" s="222"/>
      <c r="AF769" s="222"/>
      <c r="AG769" s="222"/>
      <c r="AH769" s="222"/>
      <c r="AI769" s="222"/>
      <c r="AJ769" s="222"/>
      <c r="AK769" s="222"/>
      <c r="AL769" s="222"/>
      <c r="AM769" s="222"/>
      <c r="AN769" s="222"/>
      <c r="AO769" s="222"/>
      <c r="AP769" s="222"/>
      <c r="AQ769" s="222"/>
      <c r="AR769" s="222"/>
      <c r="AS769" s="222"/>
      <c r="AT769" s="222"/>
      <c r="AU769" s="222"/>
      <c r="AV769" s="222"/>
      <c r="AW769" s="222"/>
      <c r="AX769" s="222"/>
    </row>
    <row r="770" spans="1:50" ht="15.75" customHeight="1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  <c r="AE770" s="222"/>
      <c r="AF770" s="222"/>
      <c r="AG770" s="222"/>
      <c r="AH770" s="222"/>
      <c r="AI770" s="222"/>
      <c r="AJ770" s="222"/>
      <c r="AK770" s="222"/>
      <c r="AL770" s="222"/>
      <c r="AM770" s="222"/>
      <c r="AN770" s="222"/>
      <c r="AO770" s="222"/>
      <c r="AP770" s="222"/>
      <c r="AQ770" s="222"/>
      <c r="AR770" s="222"/>
      <c r="AS770" s="222"/>
      <c r="AT770" s="222"/>
      <c r="AU770" s="222"/>
      <c r="AV770" s="222"/>
      <c r="AW770" s="222"/>
      <c r="AX770" s="222"/>
    </row>
    <row r="771" spans="1:50" ht="15.75" customHeight="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  <c r="AE771" s="222"/>
      <c r="AF771" s="222"/>
      <c r="AG771" s="222"/>
      <c r="AH771" s="222"/>
      <c r="AI771" s="222"/>
      <c r="AJ771" s="222"/>
      <c r="AK771" s="222"/>
      <c r="AL771" s="222"/>
      <c r="AM771" s="222"/>
      <c r="AN771" s="222"/>
      <c r="AO771" s="222"/>
      <c r="AP771" s="222"/>
      <c r="AQ771" s="222"/>
      <c r="AR771" s="222"/>
      <c r="AS771" s="222"/>
      <c r="AT771" s="222"/>
      <c r="AU771" s="222"/>
      <c r="AV771" s="222"/>
      <c r="AW771" s="222"/>
      <c r="AX771" s="222"/>
    </row>
    <row r="772" spans="1:50" ht="15.75" customHeight="1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  <c r="AE772" s="222"/>
      <c r="AF772" s="222"/>
      <c r="AG772" s="222"/>
      <c r="AH772" s="222"/>
      <c r="AI772" s="222"/>
      <c r="AJ772" s="222"/>
      <c r="AK772" s="222"/>
      <c r="AL772" s="222"/>
      <c r="AM772" s="222"/>
      <c r="AN772" s="222"/>
      <c r="AO772" s="222"/>
      <c r="AP772" s="222"/>
      <c r="AQ772" s="222"/>
      <c r="AR772" s="222"/>
      <c r="AS772" s="222"/>
      <c r="AT772" s="222"/>
      <c r="AU772" s="222"/>
      <c r="AV772" s="222"/>
      <c r="AW772" s="222"/>
      <c r="AX772" s="222"/>
    </row>
    <row r="773" spans="1:50" ht="15.75" customHeight="1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  <c r="AE773" s="222"/>
      <c r="AF773" s="222"/>
      <c r="AG773" s="222"/>
      <c r="AH773" s="222"/>
      <c r="AI773" s="222"/>
      <c r="AJ773" s="222"/>
      <c r="AK773" s="222"/>
      <c r="AL773" s="222"/>
      <c r="AM773" s="222"/>
      <c r="AN773" s="222"/>
      <c r="AO773" s="222"/>
      <c r="AP773" s="222"/>
      <c r="AQ773" s="222"/>
      <c r="AR773" s="222"/>
      <c r="AS773" s="222"/>
      <c r="AT773" s="222"/>
      <c r="AU773" s="222"/>
      <c r="AV773" s="222"/>
      <c r="AW773" s="222"/>
      <c r="AX773" s="222"/>
    </row>
    <row r="774" spans="1:50" ht="15.75" customHeight="1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  <c r="AE774" s="222"/>
      <c r="AF774" s="222"/>
      <c r="AG774" s="222"/>
      <c r="AH774" s="222"/>
      <c r="AI774" s="222"/>
      <c r="AJ774" s="222"/>
      <c r="AK774" s="222"/>
      <c r="AL774" s="222"/>
      <c r="AM774" s="222"/>
      <c r="AN774" s="222"/>
      <c r="AO774" s="222"/>
      <c r="AP774" s="222"/>
      <c r="AQ774" s="222"/>
      <c r="AR774" s="222"/>
      <c r="AS774" s="222"/>
      <c r="AT774" s="222"/>
      <c r="AU774" s="222"/>
      <c r="AV774" s="222"/>
      <c r="AW774" s="222"/>
      <c r="AX774" s="222"/>
    </row>
    <row r="775" spans="1:50" ht="15.75" customHeight="1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  <c r="AM775" s="222"/>
      <c r="AN775" s="222"/>
      <c r="AO775" s="222"/>
      <c r="AP775" s="222"/>
      <c r="AQ775" s="222"/>
      <c r="AR775" s="222"/>
      <c r="AS775" s="222"/>
      <c r="AT775" s="222"/>
      <c r="AU775" s="222"/>
      <c r="AV775" s="222"/>
      <c r="AW775" s="222"/>
      <c r="AX775" s="222"/>
    </row>
    <row r="776" spans="1:50" ht="15.75" customHeight="1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  <c r="AE776" s="222"/>
      <c r="AF776" s="222"/>
      <c r="AG776" s="222"/>
      <c r="AH776" s="222"/>
      <c r="AI776" s="222"/>
      <c r="AJ776" s="222"/>
      <c r="AK776" s="222"/>
      <c r="AL776" s="222"/>
      <c r="AM776" s="222"/>
      <c r="AN776" s="222"/>
      <c r="AO776" s="222"/>
      <c r="AP776" s="222"/>
      <c r="AQ776" s="222"/>
      <c r="AR776" s="222"/>
      <c r="AS776" s="222"/>
      <c r="AT776" s="222"/>
      <c r="AU776" s="222"/>
      <c r="AV776" s="222"/>
      <c r="AW776" s="222"/>
      <c r="AX776" s="222"/>
    </row>
    <row r="777" spans="1:50" ht="15.75" customHeight="1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  <c r="AE777" s="222"/>
      <c r="AF777" s="222"/>
      <c r="AG777" s="222"/>
      <c r="AH777" s="222"/>
      <c r="AI777" s="222"/>
      <c r="AJ777" s="222"/>
      <c r="AK777" s="222"/>
      <c r="AL777" s="222"/>
      <c r="AM777" s="222"/>
      <c r="AN777" s="222"/>
      <c r="AO777" s="222"/>
      <c r="AP777" s="222"/>
      <c r="AQ777" s="222"/>
      <c r="AR777" s="222"/>
      <c r="AS777" s="222"/>
      <c r="AT777" s="222"/>
      <c r="AU777" s="222"/>
      <c r="AV777" s="222"/>
      <c r="AW777" s="222"/>
      <c r="AX777" s="222"/>
    </row>
    <row r="778" spans="1:50" ht="15.75" customHeight="1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  <c r="AE778" s="222"/>
      <c r="AF778" s="222"/>
      <c r="AG778" s="222"/>
      <c r="AH778" s="222"/>
      <c r="AI778" s="222"/>
      <c r="AJ778" s="222"/>
      <c r="AK778" s="222"/>
      <c r="AL778" s="222"/>
      <c r="AM778" s="222"/>
      <c r="AN778" s="222"/>
      <c r="AO778" s="222"/>
      <c r="AP778" s="222"/>
      <c r="AQ778" s="222"/>
      <c r="AR778" s="222"/>
      <c r="AS778" s="222"/>
      <c r="AT778" s="222"/>
      <c r="AU778" s="222"/>
      <c r="AV778" s="222"/>
      <c r="AW778" s="222"/>
      <c r="AX778" s="222"/>
    </row>
    <row r="779" spans="1:50" ht="15.75" customHeight="1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  <c r="AE779" s="222"/>
      <c r="AF779" s="222"/>
      <c r="AG779" s="222"/>
      <c r="AH779" s="222"/>
      <c r="AI779" s="222"/>
      <c r="AJ779" s="222"/>
      <c r="AK779" s="222"/>
      <c r="AL779" s="222"/>
      <c r="AM779" s="222"/>
      <c r="AN779" s="222"/>
      <c r="AO779" s="222"/>
      <c r="AP779" s="222"/>
      <c r="AQ779" s="222"/>
      <c r="AR779" s="222"/>
      <c r="AS779" s="222"/>
      <c r="AT779" s="222"/>
      <c r="AU779" s="222"/>
      <c r="AV779" s="222"/>
      <c r="AW779" s="222"/>
      <c r="AX779" s="222"/>
    </row>
    <row r="780" spans="1:50" ht="15.75" customHeight="1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  <c r="AM780" s="222"/>
      <c r="AN780" s="222"/>
      <c r="AO780" s="222"/>
      <c r="AP780" s="222"/>
      <c r="AQ780" s="222"/>
      <c r="AR780" s="222"/>
      <c r="AS780" s="222"/>
      <c r="AT780" s="222"/>
      <c r="AU780" s="222"/>
      <c r="AV780" s="222"/>
      <c r="AW780" s="222"/>
      <c r="AX780" s="222"/>
    </row>
    <row r="781" spans="1:50" ht="15.75" customHeight="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  <c r="AE781" s="222"/>
      <c r="AF781" s="222"/>
      <c r="AG781" s="222"/>
      <c r="AH781" s="222"/>
      <c r="AI781" s="222"/>
      <c r="AJ781" s="222"/>
      <c r="AK781" s="222"/>
      <c r="AL781" s="222"/>
      <c r="AM781" s="222"/>
      <c r="AN781" s="222"/>
      <c r="AO781" s="222"/>
      <c r="AP781" s="222"/>
      <c r="AQ781" s="222"/>
      <c r="AR781" s="222"/>
      <c r="AS781" s="222"/>
      <c r="AT781" s="222"/>
      <c r="AU781" s="222"/>
      <c r="AV781" s="222"/>
      <c r="AW781" s="222"/>
      <c r="AX781" s="222"/>
    </row>
    <row r="782" spans="1:50" ht="15.75" customHeight="1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  <c r="AE782" s="222"/>
      <c r="AF782" s="222"/>
      <c r="AG782" s="222"/>
      <c r="AH782" s="222"/>
      <c r="AI782" s="222"/>
      <c r="AJ782" s="222"/>
      <c r="AK782" s="222"/>
      <c r="AL782" s="222"/>
      <c r="AM782" s="222"/>
      <c r="AN782" s="222"/>
      <c r="AO782" s="222"/>
      <c r="AP782" s="222"/>
      <c r="AQ782" s="222"/>
      <c r="AR782" s="222"/>
      <c r="AS782" s="222"/>
      <c r="AT782" s="222"/>
      <c r="AU782" s="222"/>
      <c r="AV782" s="222"/>
      <c r="AW782" s="222"/>
      <c r="AX782" s="222"/>
    </row>
    <row r="783" spans="1:50" ht="15.75" customHeight="1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  <c r="AE783" s="222"/>
      <c r="AF783" s="222"/>
      <c r="AG783" s="222"/>
      <c r="AH783" s="222"/>
      <c r="AI783" s="222"/>
      <c r="AJ783" s="222"/>
      <c r="AK783" s="222"/>
      <c r="AL783" s="222"/>
      <c r="AM783" s="222"/>
      <c r="AN783" s="222"/>
      <c r="AO783" s="222"/>
      <c r="AP783" s="222"/>
      <c r="AQ783" s="222"/>
      <c r="AR783" s="222"/>
      <c r="AS783" s="222"/>
      <c r="AT783" s="222"/>
      <c r="AU783" s="222"/>
      <c r="AV783" s="222"/>
      <c r="AW783" s="222"/>
      <c r="AX783" s="222"/>
    </row>
    <row r="784" spans="1:50" ht="15.75" customHeight="1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  <c r="AE784" s="222"/>
      <c r="AF784" s="222"/>
      <c r="AG784" s="222"/>
      <c r="AH784" s="222"/>
      <c r="AI784" s="222"/>
      <c r="AJ784" s="222"/>
      <c r="AK784" s="222"/>
      <c r="AL784" s="222"/>
      <c r="AM784" s="222"/>
      <c r="AN784" s="222"/>
      <c r="AO784" s="222"/>
      <c r="AP784" s="222"/>
      <c r="AQ784" s="222"/>
      <c r="AR784" s="222"/>
      <c r="AS784" s="222"/>
      <c r="AT784" s="222"/>
      <c r="AU784" s="222"/>
      <c r="AV784" s="222"/>
      <c r="AW784" s="222"/>
      <c r="AX784" s="222"/>
    </row>
    <row r="785" spans="1:50" ht="15.75" customHeight="1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  <c r="AE785" s="222"/>
      <c r="AF785" s="222"/>
      <c r="AG785" s="222"/>
      <c r="AH785" s="222"/>
      <c r="AI785" s="222"/>
      <c r="AJ785" s="222"/>
      <c r="AK785" s="222"/>
      <c r="AL785" s="222"/>
      <c r="AM785" s="222"/>
      <c r="AN785" s="222"/>
      <c r="AO785" s="222"/>
      <c r="AP785" s="222"/>
      <c r="AQ785" s="222"/>
      <c r="AR785" s="222"/>
      <c r="AS785" s="222"/>
      <c r="AT785" s="222"/>
      <c r="AU785" s="222"/>
      <c r="AV785" s="222"/>
      <c r="AW785" s="222"/>
      <c r="AX785" s="222"/>
    </row>
    <row r="786" spans="1:50" ht="15.75" customHeight="1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  <c r="AE786" s="222"/>
      <c r="AF786" s="222"/>
      <c r="AG786" s="222"/>
      <c r="AH786" s="222"/>
      <c r="AI786" s="222"/>
      <c r="AJ786" s="222"/>
      <c r="AK786" s="222"/>
      <c r="AL786" s="222"/>
      <c r="AM786" s="222"/>
      <c r="AN786" s="222"/>
      <c r="AO786" s="222"/>
      <c r="AP786" s="222"/>
      <c r="AQ786" s="222"/>
      <c r="AR786" s="222"/>
      <c r="AS786" s="222"/>
      <c r="AT786" s="222"/>
      <c r="AU786" s="222"/>
      <c r="AV786" s="222"/>
      <c r="AW786" s="222"/>
      <c r="AX786" s="222"/>
    </row>
    <row r="787" spans="1:50" ht="15.75" customHeight="1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  <c r="AE787" s="222"/>
      <c r="AF787" s="222"/>
      <c r="AG787" s="222"/>
      <c r="AH787" s="222"/>
      <c r="AI787" s="222"/>
      <c r="AJ787" s="222"/>
      <c r="AK787" s="222"/>
      <c r="AL787" s="222"/>
      <c r="AM787" s="222"/>
      <c r="AN787" s="222"/>
      <c r="AO787" s="222"/>
      <c r="AP787" s="222"/>
      <c r="AQ787" s="222"/>
      <c r="AR787" s="222"/>
      <c r="AS787" s="222"/>
      <c r="AT787" s="222"/>
      <c r="AU787" s="222"/>
      <c r="AV787" s="222"/>
      <c r="AW787" s="222"/>
      <c r="AX787" s="222"/>
    </row>
    <row r="788" spans="1:50" ht="15.75" customHeight="1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  <c r="AE788" s="222"/>
      <c r="AF788" s="222"/>
      <c r="AG788" s="222"/>
      <c r="AH788" s="222"/>
      <c r="AI788" s="222"/>
      <c r="AJ788" s="222"/>
      <c r="AK788" s="222"/>
      <c r="AL788" s="222"/>
      <c r="AM788" s="222"/>
      <c r="AN788" s="222"/>
      <c r="AO788" s="222"/>
      <c r="AP788" s="222"/>
      <c r="AQ788" s="222"/>
      <c r="AR788" s="222"/>
      <c r="AS788" s="222"/>
      <c r="AT788" s="222"/>
      <c r="AU788" s="222"/>
      <c r="AV788" s="222"/>
      <c r="AW788" s="222"/>
      <c r="AX788" s="222"/>
    </row>
    <row r="789" spans="1:50" ht="15.75" customHeight="1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  <c r="AE789" s="222"/>
      <c r="AF789" s="222"/>
      <c r="AG789" s="222"/>
      <c r="AH789" s="222"/>
      <c r="AI789" s="222"/>
      <c r="AJ789" s="222"/>
      <c r="AK789" s="222"/>
      <c r="AL789" s="222"/>
      <c r="AM789" s="222"/>
      <c r="AN789" s="222"/>
      <c r="AO789" s="222"/>
      <c r="AP789" s="222"/>
      <c r="AQ789" s="222"/>
      <c r="AR789" s="222"/>
      <c r="AS789" s="222"/>
      <c r="AT789" s="222"/>
      <c r="AU789" s="222"/>
      <c r="AV789" s="222"/>
      <c r="AW789" s="222"/>
      <c r="AX789" s="222"/>
    </row>
    <row r="790" spans="1:50" ht="15.75" customHeight="1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  <c r="AE790" s="222"/>
      <c r="AF790" s="222"/>
      <c r="AG790" s="222"/>
      <c r="AH790" s="222"/>
      <c r="AI790" s="222"/>
      <c r="AJ790" s="222"/>
      <c r="AK790" s="222"/>
      <c r="AL790" s="222"/>
      <c r="AM790" s="222"/>
      <c r="AN790" s="222"/>
      <c r="AO790" s="222"/>
      <c r="AP790" s="222"/>
      <c r="AQ790" s="222"/>
      <c r="AR790" s="222"/>
      <c r="AS790" s="222"/>
      <c r="AT790" s="222"/>
      <c r="AU790" s="222"/>
      <c r="AV790" s="222"/>
      <c r="AW790" s="222"/>
      <c r="AX790" s="222"/>
    </row>
    <row r="791" spans="1:50" ht="15.75" customHeight="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  <c r="AE791" s="222"/>
      <c r="AF791" s="222"/>
      <c r="AG791" s="222"/>
      <c r="AH791" s="222"/>
      <c r="AI791" s="222"/>
      <c r="AJ791" s="222"/>
      <c r="AK791" s="222"/>
      <c r="AL791" s="222"/>
      <c r="AM791" s="222"/>
      <c r="AN791" s="222"/>
      <c r="AO791" s="222"/>
      <c r="AP791" s="222"/>
      <c r="AQ791" s="222"/>
      <c r="AR791" s="222"/>
      <c r="AS791" s="222"/>
      <c r="AT791" s="222"/>
      <c r="AU791" s="222"/>
      <c r="AV791" s="222"/>
      <c r="AW791" s="222"/>
      <c r="AX791" s="222"/>
    </row>
    <row r="792" spans="1:50" ht="15.75" customHeight="1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  <c r="AE792" s="222"/>
      <c r="AF792" s="222"/>
      <c r="AG792" s="222"/>
      <c r="AH792" s="222"/>
      <c r="AI792" s="222"/>
      <c r="AJ792" s="222"/>
      <c r="AK792" s="222"/>
      <c r="AL792" s="222"/>
      <c r="AM792" s="222"/>
      <c r="AN792" s="222"/>
      <c r="AO792" s="222"/>
      <c r="AP792" s="222"/>
      <c r="AQ792" s="222"/>
      <c r="AR792" s="222"/>
      <c r="AS792" s="222"/>
      <c r="AT792" s="222"/>
      <c r="AU792" s="222"/>
      <c r="AV792" s="222"/>
      <c r="AW792" s="222"/>
      <c r="AX792" s="222"/>
    </row>
    <row r="793" spans="1:50" ht="15.75" customHeight="1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  <c r="AE793" s="222"/>
      <c r="AF793" s="222"/>
      <c r="AG793" s="222"/>
      <c r="AH793" s="222"/>
      <c r="AI793" s="222"/>
      <c r="AJ793" s="222"/>
      <c r="AK793" s="222"/>
      <c r="AL793" s="222"/>
      <c r="AM793" s="222"/>
      <c r="AN793" s="222"/>
      <c r="AO793" s="222"/>
      <c r="AP793" s="222"/>
      <c r="AQ793" s="222"/>
      <c r="AR793" s="222"/>
      <c r="AS793" s="222"/>
      <c r="AT793" s="222"/>
      <c r="AU793" s="222"/>
      <c r="AV793" s="222"/>
      <c r="AW793" s="222"/>
      <c r="AX793" s="222"/>
    </row>
    <row r="794" spans="1:50" ht="15.75" customHeight="1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  <c r="AE794" s="222"/>
      <c r="AF794" s="222"/>
      <c r="AG794" s="222"/>
      <c r="AH794" s="222"/>
      <c r="AI794" s="222"/>
      <c r="AJ794" s="222"/>
      <c r="AK794" s="222"/>
      <c r="AL794" s="222"/>
      <c r="AM794" s="222"/>
      <c r="AN794" s="222"/>
      <c r="AO794" s="222"/>
      <c r="AP794" s="222"/>
      <c r="AQ794" s="222"/>
      <c r="AR794" s="222"/>
      <c r="AS794" s="222"/>
      <c r="AT794" s="222"/>
      <c r="AU794" s="222"/>
      <c r="AV794" s="222"/>
      <c r="AW794" s="222"/>
      <c r="AX794" s="222"/>
    </row>
    <row r="795" spans="1:50" ht="15.75" customHeight="1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  <c r="AE795" s="222"/>
      <c r="AF795" s="222"/>
      <c r="AG795" s="222"/>
      <c r="AH795" s="222"/>
      <c r="AI795" s="222"/>
      <c r="AJ795" s="222"/>
      <c r="AK795" s="222"/>
      <c r="AL795" s="222"/>
      <c r="AM795" s="222"/>
      <c r="AN795" s="222"/>
      <c r="AO795" s="222"/>
      <c r="AP795" s="222"/>
      <c r="AQ795" s="222"/>
      <c r="AR795" s="222"/>
      <c r="AS795" s="222"/>
      <c r="AT795" s="222"/>
      <c r="AU795" s="222"/>
      <c r="AV795" s="222"/>
      <c r="AW795" s="222"/>
      <c r="AX795" s="222"/>
    </row>
    <row r="796" spans="1:50" ht="15.75" customHeight="1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  <c r="AE796" s="222"/>
      <c r="AF796" s="222"/>
      <c r="AG796" s="222"/>
      <c r="AH796" s="222"/>
      <c r="AI796" s="222"/>
      <c r="AJ796" s="222"/>
      <c r="AK796" s="222"/>
      <c r="AL796" s="222"/>
      <c r="AM796" s="222"/>
      <c r="AN796" s="222"/>
      <c r="AO796" s="222"/>
      <c r="AP796" s="222"/>
      <c r="AQ796" s="222"/>
      <c r="AR796" s="222"/>
      <c r="AS796" s="222"/>
      <c r="AT796" s="222"/>
      <c r="AU796" s="222"/>
      <c r="AV796" s="222"/>
      <c r="AW796" s="222"/>
      <c r="AX796" s="222"/>
    </row>
    <row r="797" spans="1:50" ht="15.75" customHeight="1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  <c r="AE797" s="222"/>
      <c r="AF797" s="222"/>
      <c r="AG797" s="222"/>
      <c r="AH797" s="222"/>
      <c r="AI797" s="222"/>
      <c r="AJ797" s="222"/>
      <c r="AK797" s="222"/>
      <c r="AL797" s="222"/>
      <c r="AM797" s="222"/>
      <c r="AN797" s="222"/>
      <c r="AO797" s="222"/>
      <c r="AP797" s="222"/>
      <c r="AQ797" s="222"/>
      <c r="AR797" s="222"/>
      <c r="AS797" s="222"/>
      <c r="AT797" s="222"/>
      <c r="AU797" s="222"/>
      <c r="AV797" s="222"/>
      <c r="AW797" s="222"/>
      <c r="AX797" s="222"/>
    </row>
    <row r="798" spans="1:50" ht="15.75" customHeight="1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  <c r="AE798" s="222"/>
      <c r="AF798" s="222"/>
      <c r="AG798" s="222"/>
      <c r="AH798" s="222"/>
      <c r="AI798" s="222"/>
      <c r="AJ798" s="222"/>
      <c r="AK798" s="222"/>
      <c r="AL798" s="222"/>
      <c r="AM798" s="222"/>
      <c r="AN798" s="222"/>
      <c r="AO798" s="222"/>
      <c r="AP798" s="222"/>
      <c r="AQ798" s="222"/>
      <c r="AR798" s="222"/>
      <c r="AS798" s="222"/>
      <c r="AT798" s="222"/>
      <c r="AU798" s="222"/>
      <c r="AV798" s="222"/>
      <c r="AW798" s="222"/>
      <c r="AX798" s="222"/>
    </row>
    <row r="799" spans="1:50" ht="15.75" customHeight="1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  <c r="AE799" s="222"/>
      <c r="AF799" s="222"/>
      <c r="AG799" s="222"/>
      <c r="AH799" s="222"/>
      <c r="AI799" s="222"/>
      <c r="AJ799" s="222"/>
      <c r="AK799" s="222"/>
      <c r="AL799" s="222"/>
      <c r="AM799" s="222"/>
      <c r="AN799" s="222"/>
      <c r="AO799" s="222"/>
      <c r="AP799" s="222"/>
      <c r="AQ799" s="222"/>
      <c r="AR799" s="222"/>
      <c r="AS799" s="222"/>
      <c r="AT799" s="222"/>
      <c r="AU799" s="222"/>
      <c r="AV799" s="222"/>
      <c r="AW799" s="222"/>
      <c r="AX799" s="222"/>
    </row>
    <row r="800" spans="1:50" ht="15.75" customHeight="1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  <c r="AE800" s="222"/>
      <c r="AF800" s="222"/>
      <c r="AG800" s="222"/>
      <c r="AH800" s="222"/>
      <c r="AI800" s="222"/>
      <c r="AJ800" s="222"/>
      <c r="AK800" s="222"/>
      <c r="AL800" s="222"/>
      <c r="AM800" s="222"/>
      <c r="AN800" s="222"/>
      <c r="AO800" s="222"/>
      <c r="AP800" s="222"/>
      <c r="AQ800" s="222"/>
      <c r="AR800" s="222"/>
      <c r="AS800" s="222"/>
      <c r="AT800" s="222"/>
      <c r="AU800" s="222"/>
      <c r="AV800" s="222"/>
      <c r="AW800" s="222"/>
      <c r="AX800" s="222"/>
    </row>
    <row r="801" spans="1:50" ht="15.75" customHeight="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  <c r="AE801" s="222"/>
      <c r="AF801" s="222"/>
      <c r="AG801" s="222"/>
      <c r="AH801" s="222"/>
      <c r="AI801" s="222"/>
      <c r="AJ801" s="222"/>
      <c r="AK801" s="222"/>
      <c r="AL801" s="222"/>
      <c r="AM801" s="222"/>
      <c r="AN801" s="222"/>
      <c r="AO801" s="222"/>
      <c r="AP801" s="222"/>
      <c r="AQ801" s="222"/>
      <c r="AR801" s="222"/>
      <c r="AS801" s="222"/>
      <c r="AT801" s="222"/>
      <c r="AU801" s="222"/>
      <c r="AV801" s="222"/>
      <c r="AW801" s="222"/>
      <c r="AX801" s="222"/>
    </row>
    <row r="802" spans="1:50" ht="15.75" customHeight="1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  <c r="AE802" s="222"/>
      <c r="AF802" s="222"/>
      <c r="AG802" s="222"/>
      <c r="AH802" s="222"/>
      <c r="AI802" s="222"/>
      <c r="AJ802" s="222"/>
      <c r="AK802" s="222"/>
      <c r="AL802" s="222"/>
      <c r="AM802" s="222"/>
      <c r="AN802" s="222"/>
      <c r="AO802" s="222"/>
      <c r="AP802" s="222"/>
      <c r="AQ802" s="222"/>
      <c r="AR802" s="222"/>
      <c r="AS802" s="222"/>
      <c r="AT802" s="222"/>
      <c r="AU802" s="222"/>
      <c r="AV802" s="222"/>
      <c r="AW802" s="222"/>
      <c r="AX802" s="222"/>
    </row>
    <row r="803" spans="1:50" ht="15.75" customHeight="1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  <c r="AE803" s="222"/>
      <c r="AF803" s="222"/>
      <c r="AG803" s="222"/>
      <c r="AH803" s="222"/>
      <c r="AI803" s="222"/>
      <c r="AJ803" s="222"/>
      <c r="AK803" s="222"/>
      <c r="AL803" s="222"/>
      <c r="AM803" s="222"/>
      <c r="AN803" s="222"/>
      <c r="AO803" s="222"/>
      <c r="AP803" s="222"/>
      <c r="AQ803" s="222"/>
      <c r="AR803" s="222"/>
      <c r="AS803" s="222"/>
      <c r="AT803" s="222"/>
      <c r="AU803" s="222"/>
      <c r="AV803" s="222"/>
      <c r="AW803" s="222"/>
      <c r="AX803" s="222"/>
    </row>
    <row r="804" spans="1:50" ht="15.75" customHeight="1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  <c r="AE804" s="222"/>
      <c r="AF804" s="222"/>
      <c r="AG804" s="222"/>
      <c r="AH804" s="222"/>
      <c r="AI804" s="222"/>
      <c r="AJ804" s="222"/>
      <c r="AK804" s="222"/>
      <c r="AL804" s="222"/>
      <c r="AM804" s="222"/>
      <c r="AN804" s="222"/>
      <c r="AO804" s="222"/>
      <c r="AP804" s="222"/>
      <c r="AQ804" s="222"/>
      <c r="AR804" s="222"/>
      <c r="AS804" s="222"/>
      <c r="AT804" s="222"/>
      <c r="AU804" s="222"/>
      <c r="AV804" s="222"/>
      <c r="AW804" s="222"/>
      <c r="AX804" s="222"/>
    </row>
    <row r="805" spans="1:50" ht="15.75" customHeight="1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  <c r="AE805" s="222"/>
      <c r="AF805" s="222"/>
      <c r="AG805" s="222"/>
      <c r="AH805" s="222"/>
      <c r="AI805" s="222"/>
      <c r="AJ805" s="222"/>
      <c r="AK805" s="222"/>
      <c r="AL805" s="222"/>
      <c r="AM805" s="222"/>
      <c r="AN805" s="222"/>
      <c r="AO805" s="222"/>
      <c r="AP805" s="222"/>
      <c r="AQ805" s="222"/>
      <c r="AR805" s="222"/>
      <c r="AS805" s="222"/>
      <c r="AT805" s="222"/>
      <c r="AU805" s="222"/>
      <c r="AV805" s="222"/>
      <c r="AW805" s="222"/>
      <c r="AX805" s="222"/>
    </row>
    <row r="806" spans="1:50" ht="15.75" customHeight="1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  <c r="AE806" s="222"/>
      <c r="AF806" s="222"/>
      <c r="AG806" s="222"/>
      <c r="AH806" s="222"/>
      <c r="AI806" s="222"/>
      <c r="AJ806" s="222"/>
      <c r="AK806" s="222"/>
      <c r="AL806" s="222"/>
      <c r="AM806" s="222"/>
      <c r="AN806" s="222"/>
      <c r="AO806" s="222"/>
      <c r="AP806" s="222"/>
      <c r="AQ806" s="222"/>
      <c r="AR806" s="222"/>
      <c r="AS806" s="222"/>
      <c r="AT806" s="222"/>
      <c r="AU806" s="222"/>
      <c r="AV806" s="222"/>
      <c r="AW806" s="222"/>
      <c r="AX806" s="222"/>
    </row>
    <row r="807" spans="1:50" ht="15.75" customHeight="1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  <c r="AE807" s="222"/>
      <c r="AF807" s="222"/>
      <c r="AG807" s="222"/>
      <c r="AH807" s="222"/>
      <c r="AI807" s="222"/>
      <c r="AJ807" s="222"/>
      <c r="AK807" s="222"/>
      <c r="AL807" s="222"/>
      <c r="AM807" s="222"/>
      <c r="AN807" s="222"/>
      <c r="AO807" s="222"/>
      <c r="AP807" s="222"/>
      <c r="AQ807" s="222"/>
      <c r="AR807" s="222"/>
      <c r="AS807" s="222"/>
      <c r="AT807" s="222"/>
      <c r="AU807" s="222"/>
      <c r="AV807" s="222"/>
      <c r="AW807" s="222"/>
      <c r="AX807" s="222"/>
    </row>
    <row r="808" spans="1:50" ht="15.75" customHeight="1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  <c r="AE808" s="222"/>
      <c r="AF808" s="222"/>
      <c r="AG808" s="222"/>
      <c r="AH808" s="222"/>
      <c r="AI808" s="222"/>
      <c r="AJ808" s="222"/>
      <c r="AK808" s="222"/>
      <c r="AL808" s="222"/>
      <c r="AM808" s="222"/>
      <c r="AN808" s="222"/>
      <c r="AO808" s="222"/>
      <c r="AP808" s="222"/>
      <c r="AQ808" s="222"/>
      <c r="AR808" s="222"/>
      <c r="AS808" s="222"/>
      <c r="AT808" s="222"/>
      <c r="AU808" s="222"/>
      <c r="AV808" s="222"/>
      <c r="AW808" s="222"/>
      <c r="AX808" s="222"/>
    </row>
    <row r="809" spans="1:50" ht="15.75" customHeight="1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  <c r="AE809" s="222"/>
      <c r="AF809" s="222"/>
      <c r="AG809" s="222"/>
      <c r="AH809" s="222"/>
      <c r="AI809" s="222"/>
      <c r="AJ809" s="222"/>
      <c r="AK809" s="222"/>
      <c r="AL809" s="222"/>
      <c r="AM809" s="222"/>
      <c r="AN809" s="222"/>
      <c r="AO809" s="222"/>
      <c r="AP809" s="222"/>
      <c r="AQ809" s="222"/>
      <c r="AR809" s="222"/>
      <c r="AS809" s="222"/>
      <c r="AT809" s="222"/>
      <c r="AU809" s="222"/>
      <c r="AV809" s="222"/>
      <c r="AW809" s="222"/>
      <c r="AX809" s="222"/>
    </row>
    <row r="810" spans="1:50" ht="15.75" customHeight="1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  <c r="AE810" s="222"/>
      <c r="AF810" s="222"/>
      <c r="AG810" s="222"/>
      <c r="AH810" s="222"/>
      <c r="AI810" s="222"/>
      <c r="AJ810" s="222"/>
      <c r="AK810" s="222"/>
      <c r="AL810" s="222"/>
      <c r="AM810" s="222"/>
      <c r="AN810" s="222"/>
      <c r="AO810" s="222"/>
      <c r="AP810" s="222"/>
      <c r="AQ810" s="222"/>
      <c r="AR810" s="222"/>
      <c r="AS810" s="222"/>
      <c r="AT810" s="222"/>
      <c r="AU810" s="222"/>
      <c r="AV810" s="222"/>
      <c r="AW810" s="222"/>
      <c r="AX810" s="222"/>
    </row>
    <row r="811" spans="1:50" ht="15.75" customHeight="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  <c r="AE811" s="222"/>
      <c r="AF811" s="222"/>
      <c r="AG811" s="222"/>
      <c r="AH811" s="222"/>
      <c r="AI811" s="222"/>
      <c r="AJ811" s="222"/>
      <c r="AK811" s="222"/>
      <c r="AL811" s="222"/>
      <c r="AM811" s="222"/>
      <c r="AN811" s="222"/>
      <c r="AO811" s="222"/>
      <c r="AP811" s="222"/>
      <c r="AQ811" s="222"/>
      <c r="AR811" s="222"/>
      <c r="AS811" s="222"/>
      <c r="AT811" s="222"/>
      <c r="AU811" s="222"/>
      <c r="AV811" s="222"/>
      <c r="AW811" s="222"/>
      <c r="AX811" s="222"/>
    </row>
    <row r="812" spans="1:50" ht="15.75" customHeight="1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  <c r="AM812" s="222"/>
      <c r="AN812" s="222"/>
      <c r="AO812" s="222"/>
      <c r="AP812" s="222"/>
      <c r="AQ812" s="222"/>
      <c r="AR812" s="222"/>
      <c r="AS812" s="222"/>
      <c r="AT812" s="222"/>
      <c r="AU812" s="222"/>
      <c r="AV812" s="222"/>
      <c r="AW812" s="222"/>
      <c r="AX812" s="222"/>
    </row>
    <row r="813" spans="1:50" ht="15.75" customHeight="1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  <c r="AE813" s="222"/>
      <c r="AF813" s="222"/>
      <c r="AG813" s="222"/>
      <c r="AH813" s="222"/>
      <c r="AI813" s="222"/>
      <c r="AJ813" s="222"/>
      <c r="AK813" s="222"/>
      <c r="AL813" s="222"/>
      <c r="AM813" s="222"/>
      <c r="AN813" s="222"/>
      <c r="AO813" s="222"/>
      <c r="AP813" s="222"/>
      <c r="AQ813" s="222"/>
      <c r="AR813" s="222"/>
      <c r="AS813" s="222"/>
      <c r="AT813" s="222"/>
      <c r="AU813" s="222"/>
      <c r="AV813" s="222"/>
      <c r="AW813" s="222"/>
      <c r="AX813" s="222"/>
    </row>
    <row r="814" spans="1:50" ht="15.75" customHeight="1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  <c r="AE814" s="222"/>
      <c r="AF814" s="222"/>
      <c r="AG814" s="222"/>
      <c r="AH814" s="222"/>
      <c r="AI814" s="222"/>
      <c r="AJ814" s="222"/>
      <c r="AK814" s="222"/>
      <c r="AL814" s="222"/>
      <c r="AM814" s="222"/>
      <c r="AN814" s="222"/>
      <c r="AO814" s="222"/>
      <c r="AP814" s="222"/>
      <c r="AQ814" s="222"/>
      <c r="AR814" s="222"/>
      <c r="AS814" s="222"/>
      <c r="AT814" s="222"/>
      <c r="AU814" s="222"/>
      <c r="AV814" s="222"/>
      <c r="AW814" s="222"/>
      <c r="AX814" s="222"/>
    </row>
    <row r="815" spans="1:50" ht="15.75" customHeight="1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  <c r="AE815" s="222"/>
      <c r="AF815" s="222"/>
      <c r="AG815" s="222"/>
      <c r="AH815" s="222"/>
      <c r="AI815" s="222"/>
      <c r="AJ815" s="222"/>
      <c r="AK815" s="222"/>
      <c r="AL815" s="222"/>
      <c r="AM815" s="222"/>
      <c r="AN815" s="222"/>
      <c r="AO815" s="222"/>
      <c r="AP815" s="222"/>
      <c r="AQ815" s="222"/>
      <c r="AR815" s="222"/>
      <c r="AS815" s="222"/>
      <c r="AT815" s="222"/>
      <c r="AU815" s="222"/>
      <c r="AV815" s="222"/>
      <c r="AW815" s="222"/>
      <c r="AX815" s="222"/>
    </row>
    <row r="816" spans="1:50" ht="15.75" customHeight="1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  <c r="AE816" s="222"/>
      <c r="AF816" s="222"/>
      <c r="AG816" s="222"/>
      <c r="AH816" s="222"/>
      <c r="AI816" s="222"/>
      <c r="AJ816" s="222"/>
      <c r="AK816" s="222"/>
      <c r="AL816" s="222"/>
      <c r="AM816" s="222"/>
      <c r="AN816" s="222"/>
      <c r="AO816" s="222"/>
      <c r="AP816" s="222"/>
      <c r="AQ816" s="222"/>
      <c r="AR816" s="222"/>
      <c r="AS816" s="222"/>
      <c r="AT816" s="222"/>
      <c r="AU816" s="222"/>
      <c r="AV816" s="222"/>
      <c r="AW816" s="222"/>
      <c r="AX816" s="222"/>
    </row>
    <row r="817" spans="1:50" ht="15.75" customHeight="1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  <c r="AE817" s="222"/>
      <c r="AF817" s="222"/>
      <c r="AG817" s="222"/>
      <c r="AH817" s="222"/>
      <c r="AI817" s="222"/>
      <c r="AJ817" s="222"/>
      <c r="AK817" s="222"/>
      <c r="AL817" s="222"/>
      <c r="AM817" s="222"/>
      <c r="AN817" s="222"/>
      <c r="AO817" s="222"/>
      <c r="AP817" s="222"/>
      <c r="AQ817" s="222"/>
      <c r="AR817" s="222"/>
      <c r="AS817" s="222"/>
      <c r="AT817" s="222"/>
      <c r="AU817" s="222"/>
      <c r="AV817" s="222"/>
      <c r="AW817" s="222"/>
      <c r="AX817" s="222"/>
    </row>
    <row r="818" spans="1:50" ht="15.75" customHeight="1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  <c r="AE818" s="222"/>
      <c r="AF818" s="222"/>
      <c r="AG818" s="222"/>
      <c r="AH818" s="222"/>
      <c r="AI818" s="222"/>
      <c r="AJ818" s="222"/>
      <c r="AK818" s="222"/>
      <c r="AL818" s="222"/>
      <c r="AM818" s="222"/>
      <c r="AN818" s="222"/>
      <c r="AO818" s="222"/>
      <c r="AP818" s="222"/>
      <c r="AQ818" s="222"/>
      <c r="AR818" s="222"/>
      <c r="AS818" s="222"/>
      <c r="AT818" s="222"/>
      <c r="AU818" s="222"/>
      <c r="AV818" s="222"/>
      <c r="AW818" s="222"/>
      <c r="AX818" s="222"/>
    </row>
    <row r="819" spans="1:50" ht="15.75" customHeight="1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  <c r="AE819" s="222"/>
      <c r="AF819" s="222"/>
      <c r="AG819" s="222"/>
      <c r="AH819" s="222"/>
      <c r="AI819" s="222"/>
      <c r="AJ819" s="222"/>
      <c r="AK819" s="222"/>
      <c r="AL819" s="222"/>
      <c r="AM819" s="222"/>
      <c r="AN819" s="222"/>
      <c r="AO819" s="222"/>
      <c r="AP819" s="222"/>
      <c r="AQ819" s="222"/>
      <c r="AR819" s="222"/>
      <c r="AS819" s="222"/>
      <c r="AT819" s="222"/>
      <c r="AU819" s="222"/>
      <c r="AV819" s="222"/>
      <c r="AW819" s="222"/>
      <c r="AX819" s="222"/>
    </row>
    <row r="820" spans="1:50" ht="15.75" customHeight="1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  <c r="AE820" s="222"/>
      <c r="AF820" s="222"/>
      <c r="AG820" s="222"/>
      <c r="AH820" s="222"/>
      <c r="AI820" s="222"/>
      <c r="AJ820" s="222"/>
      <c r="AK820" s="222"/>
      <c r="AL820" s="222"/>
      <c r="AM820" s="222"/>
      <c r="AN820" s="222"/>
      <c r="AO820" s="222"/>
      <c r="AP820" s="222"/>
      <c r="AQ820" s="222"/>
      <c r="AR820" s="222"/>
      <c r="AS820" s="222"/>
      <c r="AT820" s="222"/>
      <c r="AU820" s="222"/>
      <c r="AV820" s="222"/>
      <c r="AW820" s="222"/>
      <c r="AX820" s="222"/>
    </row>
    <row r="821" spans="1:50" ht="15.75" customHeight="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  <c r="AE821" s="222"/>
      <c r="AF821" s="222"/>
      <c r="AG821" s="222"/>
      <c r="AH821" s="222"/>
      <c r="AI821" s="222"/>
      <c r="AJ821" s="222"/>
      <c r="AK821" s="222"/>
      <c r="AL821" s="222"/>
      <c r="AM821" s="222"/>
      <c r="AN821" s="222"/>
      <c r="AO821" s="222"/>
      <c r="AP821" s="222"/>
      <c r="AQ821" s="222"/>
      <c r="AR821" s="222"/>
      <c r="AS821" s="222"/>
      <c r="AT821" s="222"/>
      <c r="AU821" s="222"/>
      <c r="AV821" s="222"/>
      <c r="AW821" s="222"/>
      <c r="AX821" s="222"/>
    </row>
    <row r="822" spans="1:50" ht="15.75" customHeight="1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  <c r="AE822" s="222"/>
      <c r="AF822" s="222"/>
      <c r="AG822" s="222"/>
      <c r="AH822" s="222"/>
      <c r="AI822" s="222"/>
      <c r="AJ822" s="222"/>
      <c r="AK822" s="222"/>
      <c r="AL822" s="222"/>
      <c r="AM822" s="222"/>
      <c r="AN822" s="222"/>
      <c r="AO822" s="222"/>
      <c r="AP822" s="222"/>
      <c r="AQ822" s="222"/>
      <c r="AR822" s="222"/>
      <c r="AS822" s="222"/>
      <c r="AT822" s="222"/>
      <c r="AU822" s="222"/>
      <c r="AV822" s="222"/>
      <c r="AW822" s="222"/>
      <c r="AX822" s="222"/>
    </row>
    <row r="823" spans="1:50" ht="15.75" customHeight="1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  <c r="AE823" s="222"/>
      <c r="AF823" s="222"/>
      <c r="AG823" s="222"/>
      <c r="AH823" s="222"/>
      <c r="AI823" s="222"/>
      <c r="AJ823" s="222"/>
      <c r="AK823" s="222"/>
      <c r="AL823" s="222"/>
      <c r="AM823" s="222"/>
      <c r="AN823" s="222"/>
      <c r="AO823" s="222"/>
      <c r="AP823" s="222"/>
      <c r="AQ823" s="222"/>
      <c r="AR823" s="222"/>
      <c r="AS823" s="222"/>
      <c r="AT823" s="222"/>
      <c r="AU823" s="222"/>
      <c r="AV823" s="222"/>
      <c r="AW823" s="222"/>
      <c r="AX823" s="222"/>
    </row>
    <row r="824" spans="1:50" ht="15.75" customHeight="1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  <c r="AE824" s="222"/>
      <c r="AF824" s="222"/>
      <c r="AG824" s="222"/>
      <c r="AH824" s="222"/>
      <c r="AI824" s="222"/>
      <c r="AJ824" s="222"/>
      <c r="AK824" s="222"/>
      <c r="AL824" s="222"/>
      <c r="AM824" s="222"/>
      <c r="AN824" s="222"/>
      <c r="AO824" s="222"/>
      <c r="AP824" s="222"/>
      <c r="AQ824" s="222"/>
      <c r="AR824" s="222"/>
      <c r="AS824" s="222"/>
      <c r="AT824" s="222"/>
      <c r="AU824" s="222"/>
      <c r="AV824" s="222"/>
      <c r="AW824" s="222"/>
      <c r="AX824" s="222"/>
    </row>
    <row r="825" spans="1:50" ht="15.75" customHeight="1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  <c r="AE825" s="222"/>
      <c r="AF825" s="222"/>
      <c r="AG825" s="222"/>
      <c r="AH825" s="222"/>
      <c r="AI825" s="222"/>
      <c r="AJ825" s="222"/>
      <c r="AK825" s="222"/>
      <c r="AL825" s="222"/>
      <c r="AM825" s="222"/>
      <c r="AN825" s="222"/>
      <c r="AO825" s="222"/>
      <c r="AP825" s="222"/>
      <c r="AQ825" s="222"/>
      <c r="AR825" s="222"/>
      <c r="AS825" s="222"/>
      <c r="AT825" s="222"/>
      <c r="AU825" s="222"/>
      <c r="AV825" s="222"/>
      <c r="AW825" s="222"/>
      <c r="AX825" s="222"/>
    </row>
    <row r="826" spans="1:50" ht="15.75" customHeight="1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  <c r="AE826" s="222"/>
      <c r="AF826" s="222"/>
      <c r="AG826" s="222"/>
      <c r="AH826" s="222"/>
      <c r="AI826" s="222"/>
      <c r="AJ826" s="222"/>
      <c r="AK826" s="222"/>
      <c r="AL826" s="222"/>
      <c r="AM826" s="222"/>
      <c r="AN826" s="222"/>
      <c r="AO826" s="222"/>
      <c r="AP826" s="222"/>
      <c r="AQ826" s="222"/>
      <c r="AR826" s="222"/>
      <c r="AS826" s="222"/>
      <c r="AT826" s="222"/>
      <c r="AU826" s="222"/>
      <c r="AV826" s="222"/>
      <c r="AW826" s="222"/>
      <c r="AX826" s="222"/>
    </row>
    <row r="827" spans="1:50" ht="15.75" customHeight="1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2"/>
      <c r="AF827" s="222"/>
      <c r="AG827" s="222"/>
      <c r="AH827" s="222"/>
      <c r="AI827" s="222"/>
      <c r="AJ827" s="222"/>
      <c r="AK827" s="222"/>
      <c r="AL827" s="222"/>
      <c r="AM827" s="222"/>
      <c r="AN827" s="222"/>
      <c r="AO827" s="222"/>
      <c r="AP827" s="222"/>
      <c r="AQ827" s="222"/>
      <c r="AR827" s="222"/>
      <c r="AS827" s="222"/>
      <c r="AT827" s="222"/>
      <c r="AU827" s="222"/>
      <c r="AV827" s="222"/>
      <c r="AW827" s="222"/>
      <c r="AX827" s="222"/>
    </row>
    <row r="828" spans="1:50" ht="15.75" customHeight="1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2"/>
      <c r="AF828" s="222"/>
      <c r="AG828" s="222"/>
      <c r="AH828" s="222"/>
      <c r="AI828" s="222"/>
      <c r="AJ828" s="222"/>
      <c r="AK828" s="222"/>
      <c r="AL828" s="222"/>
      <c r="AM828" s="222"/>
      <c r="AN828" s="222"/>
      <c r="AO828" s="222"/>
      <c r="AP828" s="222"/>
      <c r="AQ828" s="222"/>
      <c r="AR828" s="222"/>
      <c r="AS828" s="222"/>
      <c r="AT828" s="222"/>
      <c r="AU828" s="222"/>
      <c r="AV828" s="222"/>
      <c r="AW828" s="222"/>
      <c r="AX828" s="222"/>
    </row>
    <row r="829" spans="1:50" ht="15.75" customHeight="1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  <c r="AE829" s="222"/>
      <c r="AF829" s="222"/>
      <c r="AG829" s="222"/>
      <c r="AH829" s="222"/>
      <c r="AI829" s="222"/>
      <c r="AJ829" s="222"/>
      <c r="AK829" s="222"/>
      <c r="AL829" s="222"/>
      <c r="AM829" s="222"/>
      <c r="AN829" s="222"/>
      <c r="AO829" s="222"/>
      <c r="AP829" s="222"/>
      <c r="AQ829" s="222"/>
      <c r="AR829" s="222"/>
      <c r="AS829" s="222"/>
      <c r="AT829" s="222"/>
      <c r="AU829" s="222"/>
      <c r="AV829" s="222"/>
      <c r="AW829" s="222"/>
      <c r="AX829" s="222"/>
    </row>
    <row r="830" spans="1:50" ht="15.75" customHeight="1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  <c r="AE830" s="222"/>
      <c r="AF830" s="222"/>
      <c r="AG830" s="222"/>
      <c r="AH830" s="222"/>
      <c r="AI830" s="222"/>
      <c r="AJ830" s="222"/>
      <c r="AK830" s="222"/>
      <c r="AL830" s="222"/>
      <c r="AM830" s="222"/>
      <c r="AN830" s="222"/>
      <c r="AO830" s="222"/>
      <c r="AP830" s="222"/>
      <c r="AQ830" s="222"/>
      <c r="AR830" s="222"/>
      <c r="AS830" s="222"/>
      <c r="AT830" s="222"/>
      <c r="AU830" s="222"/>
      <c r="AV830" s="222"/>
      <c r="AW830" s="222"/>
      <c r="AX830" s="222"/>
    </row>
    <row r="831" spans="1:50" ht="15.75" customHeight="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  <c r="AE831" s="222"/>
      <c r="AF831" s="222"/>
      <c r="AG831" s="222"/>
      <c r="AH831" s="222"/>
      <c r="AI831" s="222"/>
      <c r="AJ831" s="222"/>
      <c r="AK831" s="222"/>
      <c r="AL831" s="222"/>
      <c r="AM831" s="222"/>
      <c r="AN831" s="222"/>
      <c r="AO831" s="222"/>
      <c r="AP831" s="222"/>
      <c r="AQ831" s="222"/>
      <c r="AR831" s="222"/>
      <c r="AS831" s="222"/>
      <c r="AT831" s="222"/>
      <c r="AU831" s="222"/>
      <c r="AV831" s="222"/>
      <c r="AW831" s="222"/>
      <c r="AX831" s="222"/>
    </row>
    <row r="832" spans="1:50" ht="15.75" customHeight="1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  <c r="AE832" s="222"/>
      <c r="AF832" s="222"/>
      <c r="AG832" s="222"/>
      <c r="AH832" s="222"/>
      <c r="AI832" s="222"/>
      <c r="AJ832" s="222"/>
      <c r="AK832" s="222"/>
      <c r="AL832" s="222"/>
      <c r="AM832" s="222"/>
      <c r="AN832" s="222"/>
      <c r="AO832" s="222"/>
      <c r="AP832" s="222"/>
      <c r="AQ832" s="222"/>
      <c r="AR832" s="222"/>
      <c r="AS832" s="222"/>
      <c r="AT832" s="222"/>
      <c r="AU832" s="222"/>
      <c r="AV832" s="222"/>
      <c r="AW832" s="222"/>
      <c r="AX832" s="222"/>
    </row>
    <row r="833" spans="1:50" ht="15.75" customHeight="1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  <c r="AE833" s="222"/>
      <c r="AF833" s="222"/>
      <c r="AG833" s="222"/>
      <c r="AH833" s="222"/>
      <c r="AI833" s="222"/>
      <c r="AJ833" s="222"/>
      <c r="AK833" s="222"/>
      <c r="AL833" s="222"/>
      <c r="AM833" s="222"/>
      <c r="AN833" s="222"/>
      <c r="AO833" s="222"/>
      <c r="AP833" s="222"/>
      <c r="AQ833" s="222"/>
      <c r="AR833" s="222"/>
      <c r="AS833" s="222"/>
      <c r="AT833" s="222"/>
      <c r="AU833" s="222"/>
      <c r="AV833" s="222"/>
      <c r="AW833" s="222"/>
      <c r="AX833" s="222"/>
    </row>
    <row r="834" spans="1:50" ht="15.75" customHeight="1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  <c r="AE834" s="222"/>
      <c r="AF834" s="222"/>
      <c r="AG834" s="222"/>
      <c r="AH834" s="222"/>
      <c r="AI834" s="222"/>
      <c r="AJ834" s="222"/>
      <c r="AK834" s="222"/>
      <c r="AL834" s="222"/>
      <c r="AM834" s="222"/>
      <c r="AN834" s="222"/>
      <c r="AO834" s="222"/>
      <c r="AP834" s="222"/>
      <c r="AQ834" s="222"/>
      <c r="AR834" s="222"/>
      <c r="AS834" s="222"/>
      <c r="AT834" s="222"/>
      <c r="AU834" s="222"/>
      <c r="AV834" s="222"/>
      <c r="AW834" s="222"/>
      <c r="AX834" s="222"/>
    </row>
    <row r="835" spans="1:50" ht="15.75" customHeight="1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  <c r="AE835" s="222"/>
      <c r="AF835" s="222"/>
      <c r="AG835" s="222"/>
      <c r="AH835" s="222"/>
      <c r="AI835" s="222"/>
      <c r="AJ835" s="222"/>
      <c r="AK835" s="222"/>
      <c r="AL835" s="222"/>
      <c r="AM835" s="222"/>
      <c r="AN835" s="222"/>
      <c r="AO835" s="222"/>
      <c r="AP835" s="222"/>
      <c r="AQ835" s="222"/>
      <c r="AR835" s="222"/>
      <c r="AS835" s="222"/>
      <c r="AT835" s="222"/>
      <c r="AU835" s="222"/>
      <c r="AV835" s="222"/>
      <c r="AW835" s="222"/>
      <c r="AX835" s="222"/>
    </row>
    <row r="836" spans="1:50" ht="15.75" customHeight="1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  <c r="AE836" s="222"/>
      <c r="AF836" s="222"/>
      <c r="AG836" s="222"/>
      <c r="AH836" s="222"/>
      <c r="AI836" s="222"/>
      <c r="AJ836" s="222"/>
      <c r="AK836" s="222"/>
      <c r="AL836" s="222"/>
      <c r="AM836" s="222"/>
      <c r="AN836" s="222"/>
      <c r="AO836" s="222"/>
      <c r="AP836" s="222"/>
      <c r="AQ836" s="222"/>
      <c r="AR836" s="222"/>
      <c r="AS836" s="222"/>
      <c r="AT836" s="222"/>
      <c r="AU836" s="222"/>
      <c r="AV836" s="222"/>
      <c r="AW836" s="222"/>
      <c r="AX836" s="222"/>
    </row>
    <row r="837" spans="1:50" ht="15.75" customHeight="1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  <c r="AE837" s="222"/>
      <c r="AF837" s="222"/>
      <c r="AG837" s="222"/>
      <c r="AH837" s="222"/>
      <c r="AI837" s="222"/>
      <c r="AJ837" s="222"/>
      <c r="AK837" s="222"/>
      <c r="AL837" s="222"/>
      <c r="AM837" s="222"/>
      <c r="AN837" s="222"/>
      <c r="AO837" s="222"/>
      <c r="AP837" s="222"/>
      <c r="AQ837" s="222"/>
      <c r="AR837" s="222"/>
      <c r="AS837" s="222"/>
      <c r="AT837" s="222"/>
      <c r="AU837" s="222"/>
      <c r="AV837" s="222"/>
      <c r="AW837" s="222"/>
      <c r="AX837" s="222"/>
    </row>
    <row r="838" spans="1:50" ht="15.75" customHeight="1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  <c r="AE838" s="222"/>
      <c r="AF838" s="222"/>
      <c r="AG838" s="222"/>
      <c r="AH838" s="222"/>
      <c r="AI838" s="222"/>
      <c r="AJ838" s="222"/>
      <c r="AK838" s="222"/>
      <c r="AL838" s="222"/>
      <c r="AM838" s="222"/>
      <c r="AN838" s="222"/>
      <c r="AO838" s="222"/>
      <c r="AP838" s="222"/>
      <c r="AQ838" s="222"/>
      <c r="AR838" s="222"/>
      <c r="AS838" s="222"/>
      <c r="AT838" s="222"/>
      <c r="AU838" s="222"/>
      <c r="AV838" s="222"/>
      <c r="AW838" s="222"/>
      <c r="AX838" s="222"/>
    </row>
    <row r="839" spans="1:50" ht="15.75" customHeight="1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  <c r="AE839" s="222"/>
      <c r="AF839" s="222"/>
      <c r="AG839" s="222"/>
      <c r="AH839" s="222"/>
      <c r="AI839" s="222"/>
      <c r="AJ839" s="222"/>
      <c r="AK839" s="222"/>
      <c r="AL839" s="222"/>
      <c r="AM839" s="222"/>
      <c r="AN839" s="222"/>
      <c r="AO839" s="222"/>
      <c r="AP839" s="222"/>
      <c r="AQ839" s="222"/>
      <c r="AR839" s="222"/>
      <c r="AS839" s="222"/>
      <c r="AT839" s="222"/>
      <c r="AU839" s="222"/>
      <c r="AV839" s="222"/>
      <c r="AW839" s="222"/>
      <c r="AX839" s="222"/>
    </row>
    <row r="840" spans="1:50" ht="15.75" customHeight="1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  <c r="AE840" s="222"/>
      <c r="AF840" s="222"/>
      <c r="AG840" s="222"/>
      <c r="AH840" s="222"/>
      <c r="AI840" s="222"/>
      <c r="AJ840" s="222"/>
      <c r="AK840" s="222"/>
      <c r="AL840" s="222"/>
      <c r="AM840" s="222"/>
      <c r="AN840" s="222"/>
      <c r="AO840" s="222"/>
      <c r="AP840" s="222"/>
      <c r="AQ840" s="222"/>
      <c r="AR840" s="222"/>
      <c r="AS840" s="222"/>
      <c r="AT840" s="222"/>
      <c r="AU840" s="222"/>
      <c r="AV840" s="222"/>
      <c r="AW840" s="222"/>
      <c r="AX840" s="222"/>
    </row>
    <row r="841" spans="1:50" ht="15.75" customHeight="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  <c r="AE841" s="222"/>
      <c r="AF841" s="222"/>
      <c r="AG841" s="222"/>
      <c r="AH841" s="222"/>
      <c r="AI841" s="222"/>
      <c r="AJ841" s="222"/>
      <c r="AK841" s="222"/>
      <c r="AL841" s="222"/>
      <c r="AM841" s="222"/>
      <c r="AN841" s="222"/>
      <c r="AO841" s="222"/>
      <c r="AP841" s="222"/>
      <c r="AQ841" s="222"/>
      <c r="AR841" s="222"/>
      <c r="AS841" s="222"/>
      <c r="AT841" s="222"/>
      <c r="AU841" s="222"/>
      <c r="AV841" s="222"/>
      <c r="AW841" s="222"/>
      <c r="AX841" s="222"/>
    </row>
    <row r="842" spans="1:50" ht="15.75" customHeight="1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  <c r="AE842" s="222"/>
      <c r="AF842" s="222"/>
      <c r="AG842" s="222"/>
      <c r="AH842" s="222"/>
      <c r="AI842" s="222"/>
      <c r="AJ842" s="222"/>
      <c r="AK842" s="222"/>
      <c r="AL842" s="222"/>
      <c r="AM842" s="222"/>
      <c r="AN842" s="222"/>
      <c r="AO842" s="222"/>
      <c r="AP842" s="222"/>
      <c r="AQ842" s="222"/>
      <c r="AR842" s="222"/>
      <c r="AS842" s="222"/>
      <c r="AT842" s="222"/>
      <c r="AU842" s="222"/>
      <c r="AV842" s="222"/>
      <c r="AW842" s="222"/>
      <c r="AX842" s="222"/>
    </row>
    <row r="843" spans="1:50" ht="15.75" customHeight="1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  <c r="AM843" s="222"/>
      <c r="AN843" s="222"/>
      <c r="AO843" s="222"/>
      <c r="AP843" s="222"/>
      <c r="AQ843" s="222"/>
      <c r="AR843" s="222"/>
      <c r="AS843" s="222"/>
      <c r="AT843" s="222"/>
      <c r="AU843" s="222"/>
      <c r="AV843" s="222"/>
      <c r="AW843" s="222"/>
      <c r="AX843" s="222"/>
    </row>
    <row r="844" spans="1:50" ht="15.75" customHeight="1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  <c r="AE844" s="222"/>
      <c r="AF844" s="222"/>
      <c r="AG844" s="222"/>
      <c r="AH844" s="222"/>
      <c r="AI844" s="222"/>
      <c r="AJ844" s="222"/>
      <c r="AK844" s="222"/>
      <c r="AL844" s="222"/>
      <c r="AM844" s="222"/>
      <c r="AN844" s="222"/>
      <c r="AO844" s="222"/>
      <c r="AP844" s="222"/>
      <c r="AQ844" s="222"/>
      <c r="AR844" s="222"/>
      <c r="AS844" s="222"/>
      <c r="AT844" s="222"/>
      <c r="AU844" s="222"/>
      <c r="AV844" s="222"/>
      <c r="AW844" s="222"/>
      <c r="AX844" s="222"/>
    </row>
    <row r="845" spans="1:50" ht="15.75" customHeight="1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  <c r="AE845" s="222"/>
      <c r="AF845" s="222"/>
      <c r="AG845" s="222"/>
      <c r="AH845" s="222"/>
      <c r="AI845" s="222"/>
      <c r="AJ845" s="222"/>
      <c r="AK845" s="222"/>
      <c r="AL845" s="222"/>
      <c r="AM845" s="222"/>
      <c r="AN845" s="222"/>
      <c r="AO845" s="222"/>
      <c r="AP845" s="222"/>
      <c r="AQ845" s="222"/>
      <c r="AR845" s="222"/>
      <c r="AS845" s="222"/>
      <c r="AT845" s="222"/>
      <c r="AU845" s="222"/>
      <c r="AV845" s="222"/>
      <c r="AW845" s="222"/>
      <c r="AX845" s="222"/>
    </row>
    <row r="846" spans="1:50" ht="15.75" customHeight="1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  <c r="AE846" s="222"/>
      <c r="AF846" s="222"/>
      <c r="AG846" s="222"/>
      <c r="AH846" s="222"/>
      <c r="AI846" s="222"/>
      <c r="AJ846" s="222"/>
      <c r="AK846" s="222"/>
      <c r="AL846" s="222"/>
      <c r="AM846" s="222"/>
      <c r="AN846" s="222"/>
      <c r="AO846" s="222"/>
      <c r="AP846" s="222"/>
      <c r="AQ846" s="222"/>
      <c r="AR846" s="222"/>
      <c r="AS846" s="222"/>
      <c r="AT846" s="222"/>
      <c r="AU846" s="222"/>
      <c r="AV846" s="222"/>
      <c r="AW846" s="222"/>
      <c r="AX846" s="222"/>
    </row>
    <row r="847" spans="1:50" ht="15.75" customHeight="1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  <c r="AE847" s="222"/>
      <c r="AF847" s="222"/>
      <c r="AG847" s="222"/>
      <c r="AH847" s="222"/>
      <c r="AI847" s="222"/>
      <c r="AJ847" s="222"/>
      <c r="AK847" s="222"/>
      <c r="AL847" s="222"/>
      <c r="AM847" s="222"/>
      <c r="AN847" s="222"/>
      <c r="AO847" s="222"/>
      <c r="AP847" s="222"/>
      <c r="AQ847" s="222"/>
      <c r="AR847" s="222"/>
      <c r="AS847" s="222"/>
      <c r="AT847" s="222"/>
      <c r="AU847" s="222"/>
      <c r="AV847" s="222"/>
      <c r="AW847" s="222"/>
      <c r="AX847" s="222"/>
    </row>
    <row r="848" spans="1:50" ht="15.75" customHeight="1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  <c r="AE848" s="222"/>
      <c r="AF848" s="222"/>
      <c r="AG848" s="222"/>
      <c r="AH848" s="222"/>
      <c r="AI848" s="222"/>
      <c r="AJ848" s="222"/>
      <c r="AK848" s="222"/>
      <c r="AL848" s="222"/>
      <c r="AM848" s="222"/>
      <c r="AN848" s="222"/>
      <c r="AO848" s="222"/>
      <c r="AP848" s="222"/>
      <c r="AQ848" s="222"/>
      <c r="AR848" s="222"/>
      <c r="AS848" s="222"/>
      <c r="AT848" s="222"/>
      <c r="AU848" s="222"/>
      <c r="AV848" s="222"/>
      <c r="AW848" s="222"/>
      <c r="AX848" s="222"/>
    </row>
    <row r="849" spans="1:50" ht="15.75" customHeight="1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  <c r="AE849" s="222"/>
      <c r="AF849" s="222"/>
      <c r="AG849" s="222"/>
      <c r="AH849" s="222"/>
      <c r="AI849" s="222"/>
      <c r="AJ849" s="222"/>
      <c r="AK849" s="222"/>
      <c r="AL849" s="222"/>
      <c r="AM849" s="222"/>
      <c r="AN849" s="222"/>
      <c r="AO849" s="222"/>
      <c r="AP849" s="222"/>
      <c r="AQ849" s="222"/>
      <c r="AR849" s="222"/>
      <c r="AS849" s="222"/>
      <c r="AT849" s="222"/>
      <c r="AU849" s="222"/>
      <c r="AV849" s="222"/>
      <c r="AW849" s="222"/>
      <c r="AX849" s="222"/>
    </row>
    <row r="850" spans="1:50" ht="15.75" customHeight="1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  <c r="AE850" s="222"/>
      <c r="AF850" s="222"/>
      <c r="AG850" s="222"/>
      <c r="AH850" s="222"/>
      <c r="AI850" s="222"/>
      <c r="AJ850" s="222"/>
      <c r="AK850" s="222"/>
      <c r="AL850" s="222"/>
      <c r="AM850" s="222"/>
      <c r="AN850" s="222"/>
      <c r="AO850" s="222"/>
      <c r="AP850" s="222"/>
      <c r="AQ850" s="222"/>
      <c r="AR850" s="222"/>
      <c r="AS850" s="222"/>
      <c r="AT850" s="222"/>
      <c r="AU850" s="222"/>
      <c r="AV850" s="222"/>
      <c r="AW850" s="222"/>
      <c r="AX850" s="222"/>
    </row>
    <row r="851" spans="1:50" ht="15.75" customHeight="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  <c r="AE851" s="222"/>
      <c r="AF851" s="222"/>
      <c r="AG851" s="222"/>
      <c r="AH851" s="222"/>
      <c r="AI851" s="222"/>
      <c r="AJ851" s="222"/>
      <c r="AK851" s="222"/>
      <c r="AL851" s="222"/>
      <c r="AM851" s="222"/>
      <c r="AN851" s="222"/>
      <c r="AO851" s="222"/>
      <c r="AP851" s="222"/>
      <c r="AQ851" s="222"/>
      <c r="AR851" s="222"/>
      <c r="AS851" s="222"/>
      <c r="AT851" s="222"/>
      <c r="AU851" s="222"/>
      <c r="AV851" s="222"/>
      <c r="AW851" s="222"/>
      <c r="AX851" s="222"/>
    </row>
    <row r="852" spans="1:50" ht="15.75" customHeight="1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  <c r="AE852" s="222"/>
      <c r="AF852" s="222"/>
      <c r="AG852" s="222"/>
      <c r="AH852" s="222"/>
      <c r="AI852" s="222"/>
      <c r="AJ852" s="222"/>
      <c r="AK852" s="222"/>
      <c r="AL852" s="222"/>
      <c r="AM852" s="222"/>
      <c r="AN852" s="222"/>
      <c r="AO852" s="222"/>
      <c r="AP852" s="222"/>
      <c r="AQ852" s="222"/>
      <c r="AR852" s="222"/>
      <c r="AS852" s="222"/>
      <c r="AT852" s="222"/>
      <c r="AU852" s="222"/>
      <c r="AV852" s="222"/>
      <c r="AW852" s="222"/>
      <c r="AX852" s="222"/>
    </row>
    <row r="853" spans="1:50" ht="15.75" customHeight="1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  <c r="AE853" s="222"/>
      <c r="AF853" s="222"/>
      <c r="AG853" s="222"/>
      <c r="AH853" s="222"/>
      <c r="AI853" s="222"/>
      <c r="AJ853" s="222"/>
      <c r="AK853" s="222"/>
      <c r="AL853" s="222"/>
      <c r="AM853" s="222"/>
      <c r="AN853" s="222"/>
      <c r="AO853" s="222"/>
      <c r="AP853" s="222"/>
      <c r="AQ853" s="222"/>
      <c r="AR853" s="222"/>
      <c r="AS853" s="222"/>
      <c r="AT853" s="222"/>
      <c r="AU853" s="222"/>
      <c r="AV853" s="222"/>
      <c r="AW853" s="222"/>
      <c r="AX853" s="222"/>
    </row>
    <row r="854" spans="1:50" ht="15.75" customHeight="1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  <c r="AE854" s="222"/>
      <c r="AF854" s="222"/>
      <c r="AG854" s="222"/>
      <c r="AH854" s="222"/>
      <c r="AI854" s="222"/>
      <c r="AJ854" s="222"/>
      <c r="AK854" s="222"/>
      <c r="AL854" s="222"/>
      <c r="AM854" s="222"/>
      <c r="AN854" s="222"/>
      <c r="AO854" s="222"/>
      <c r="AP854" s="222"/>
      <c r="AQ854" s="222"/>
      <c r="AR854" s="222"/>
      <c r="AS854" s="222"/>
      <c r="AT854" s="222"/>
      <c r="AU854" s="222"/>
      <c r="AV854" s="222"/>
      <c r="AW854" s="222"/>
      <c r="AX854" s="222"/>
    </row>
    <row r="855" spans="1:50" ht="15.75" customHeight="1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  <c r="AE855" s="222"/>
      <c r="AF855" s="222"/>
      <c r="AG855" s="222"/>
      <c r="AH855" s="222"/>
      <c r="AI855" s="222"/>
      <c r="AJ855" s="222"/>
      <c r="AK855" s="222"/>
      <c r="AL855" s="222"/>
      <c r="AM855" s="222"/>
      <c r="AN855" s="222"/>
      <c r="AO855" s="222"/>
      <c r="AP855" s="222"/>
      <c r="AQ855" s="222"/>
      <c r="AR855" s="222"/>
      <c r="AS855" s="222"/>
      <c r="AT855" s="222"/>
      <c r="AU855" s="222"/>
      <c r="AV855" s="222"/>
      <c r="AW855" s="222"/>
      <c r="AX855" s="222"/>
    </row>
    <row r="856" spans="1:50" ht="15.75" customHeight="1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  <c r="AE856" s="222"/>
      <c r="AF856" s="222"/>
      <c r="AG856" s="222"/>
      <c r="AH856" s="222"/>
      <c r="AI856" s="222"/>
      <c r="AJ856" s="222"/>
      <c r="AK856" s="222"/>
      <c r="AL856" s="222"/>
      <c r="AM856" s="222"/>
      <c r="AN856" s="222"/>
      <c r="AO856" s="222"/>
      <c r="AP856" s="222"/>
      <c r="AQ856" s="222"/>
      <c r="AR856" s="222"/>
      <c r="AS856" s="222"/>
      <c r="AT856" s="222"/>
      <c r="AU856" s="222"/>
      <c r="AV856" s="222"/>
      <c r="AW856" s="222"/>
      <c r="AX856" s="222"/>
    </row>
    <row r="857" spans="1:50" ht="15.75" customHeight="1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  <c r="AE857" s="222"/>
      <c r="AF857" s="222"/>
      <c r="AG857" s="222"/>
      <c r="AH857" s="222"/>
      <c r="AI857" s="222"/>
      <c r="AJ857" s="222"/>
      <c r="AK857" s="222"/>
      <c r="AL857" s="222"/>
      <c r="AM857" s="222"/>
      <c r="AN857" s="222"/>
      <c r="AO857" s="222"/>
      <c r="AP857" s="222"/>
      <c r="AQ857" s="222"/>
      <c r="AR857" s="222"/>
      <c r="AS857" s="222"/>
      <c r="AT857" s="222"/>
      <c r="AU857" s="222"/>
      <c r="AV857" s="222"/>
      <c r="AW857" s="222"/>
      <c r="AX857" s="222"/>
    </row>
    <row r="858" spans="1:50" ht="15.75" customHeight="1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  <c r="AE858" s="222"/>
      <c r="AF858" s="222"/>
      <c r="AG858" s="222"/>
      <c r="AH858" s="222"/>
      <c r="AI858" s="222"/>
      <c r="AJ858" s="222"/>
      <c r="AK858" s="222"/>
      <c r="AL858" s="222"/>
      <c r="AM858" s="222"/>
      <c r="AN858" s="222"/>
      <c r="AO858" s="222"/>
      <c r="AP858" s="222"/>
      <c r="AQ858" s="222"/>
      <c r="AR858" s="222"/>
      <c r="AS858" s="222"/>
      <c r="AT858" s="222"/>
      <c r="AU858" s="222"/>
      <c r="AV858" s="222"/>
      <c r="AW858" s="222"/>
      <c r="AX858" s="222"/>
    </row>
    <row r="859" spans="1:50" ht="15.75" customHeight="1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  <c r="AE859" s="222"/>
      <c r="AF859" s="222"/>
      <c r="AG859" s="222"/>
      <c r="AH859" s="222"/>
      <c r="AI859" s="222"/>
      <c r="AJ859" s="222"/>
      <c r="AK859" s="222"/>
      <c r="AL859" s="222"/>
      <c r="AM859" s="222"/>
      <c r="AN859" s="222"/>
      <c r="AO859" s="222"/>
      <c r="AP859" s="222"/>
      <c r="AQ859" s="222"/>
      <c r="AR859" s="222"/>
      <c r="AS859" s="222"/>
      <c r="AT859" s="222"/>
      <c r="AU859" s="222"/>
      <c r="AV859" s="222"/>
      <c r="AW859" s="222"/>
      <c r="AX859" s="222"/>
    </row>
    <row r="860" spans="1:50" ht="15.75" customHeight="1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  <c r="AE860" s="222"/>
      <c r="AF860" s="222"/>
      <c r="AG860" s="222"/>
      <c r="AH860" s="222"/>
      <c r="AI860" s="222"/>
      <c r="AJ860" s="222"/>
      <c r="AK860" s="222"/>
      <c r="AL860" s="222"/>
      <c r="AM860" s="222"/>
      <c r="AN860" s="222"/>
      <c r="AO860" s="222"/>
      <c r="AP860" s="222"/>
      <c r="AQ860" s="222"/>
      <c r="AR860" s="222"/>
      <c r="AS860" s="222"/>
      <c r="AT860" s="222"/>
      <c r="AU860" s="222"/>
      <c r="AV860" s="222"/>
      <c r="AW860" s="222"/>
      <c r="AX860" s="222"/>
    </row>
    <row r="861" spans="1:50" ht="15.75" customHeight="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  <c r="AE861" s="222"/>
      <c r="AF861" s="222"/>
      <c r="AG861" s="222"/>
      <c r="AH861" s="222"/>
      <c r="AI861" s="222"/>
      <c r="AJ861" s="222"/>
      <c r="AK861" s="222"/>
      <c r="AL861" s="222"/>
      <c r="AM861" s="222"/>
      <c r="AN861" s="222"/>
      <c r="AO861" s="222"/>
      <c r="AP861" s="222"/>
      <c r="AQ861" s="222"/>
      <c r="AR861" s="222"/>
      <c r="AS861" s="222"/>
      <c r="AT861" s="222"/>
      <c r="AU861" s="222"/>
      <c r="AV861" s="222"/>
      <c r="AW861" s="222"/>
      <c r="AX861" s="222"/>
    </row>
    <row r="862" spans="1:50" ht="15.75" customHeight="1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  <c r="AE862" s="222"/>
      <c r="AF862" s="222"/>
      <c r="AG862" s="222"/>
      <c r="AH862" s="222"/>
      <c r="AI862" s="222"/>
      <c r="AJ862" s="222"/>
      <c r="AK862" s="222"/>
      <c r="AL862" s="222"/>
      <c r="AM862" s="222"/>
      <c r="AN862" s="222"/>
      <c r="AO862" s="222"/>
      <c r="AP862" s="222"/>
      <c r="AQ862" s="222"/>
      <c r="AR862" s="222"/>
      <c r="AS862" s="222"/>
      <c r="AT862" s="222"/>
      <c r="AU862" s="222"/>
      <c r="AV862" s="222"/>
      <c r="AW862" s="222"/>
      <c r="AX862" s="222"/>
    </row>
    <row r="863" spans="1:50" ht="15.75" customHeight="1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  <c r="AE863" s="222"/>
      <c r="AF863" s="222"/>
      <c r="AG863" s="222"/>
      <c r="AH863" s="222"/>
      <c r="AI863" s="222"/>
      <c r="AJ863" s="222"/>
      <c r="AK863" s="222"/>
      <c r="AL863" s="222"/>
      <c r="AM863" s="222"/>
      <c r="AN863" s="222"/>
      <c r="AO863" s="222"/>
      <c r="AP863" s="222"/>
      <c r="AQ863" s="222"/>
      <c r="AR863" s="222"/>
      <c r="AS863" s="222"/>
      <c r="AT863" s="222"/>
      <c r="AU863" s="222"/>
      <c r="AV863" s="222"/>
      <c r="AW863" s="222"/>
      <c r="AX863" s="222"/>
    </row>
    <row r="864" spans="1:50" ht="15.75" customHeight="1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  <c r="AE864" s="222"/>
      <c r="AF864" s="222"/>
      <c r="AG864" s="222"/>
      <c r="AH864" s="222"/>
      <c r="AI864" s="222"/>
      <c r="AJ864" s="222"/>
      <c r="AK864" s="222"/>
      <c r="AL864" s="222"/>
      <c r="AM864" s="222"/>
      <c r="AN864" s="222"/>
      <c r="AO864" s="222"/>
      <c r="AP864" s="222"/>
      <c r="AQ864" s="222"/>
      <c r="AR864" s="222"/>
      <c r="AS864" s="222"/>
      <c r="AT864" s="222"/>
      <c r="AU864" s="222"/>
      <c r="AV864" s="222"/>
      <c r="AW864" s="222"/>
      <c r="AX864" s="222"/>
    </row>
    <row r="865" spans="1:50" ht="15.75" customHeight="1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  <c r="AE865" s="222"/>
      <c r="AF865" s="222"/>
      <c r="AG865" s="222"/>
      <c r="AH865" s="222"/>
      <c r="AI865" s="222"/>
      <c r="AJ865" s="222"/>
      <c r="AK865" s="222"/>
      <c r="AL865" s="222"/>
      <c r="AM865" s="222"/>
      <c r="AN865" s="222"/>
      <c r="AO865" s="222"/>
      <c r="AP865" s="222"/>
      <c r="AQ865" s="222"/>
      <c r="AR865" s="222"/>
      <c r="AS865" s="222"/>
      <c r="AT865" s="222"/>
      <c r="AU865" s="222"/>
      <c r="AV865" s="222"/>
      <c r="AW865" s="222"/>
      <c r="AX865" s="222"/>
    </row>
    <row r="866" spans="1:50" ht="15.75" customHeight="1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  <c r="AE866" s="222"/>
      <c r="AF866" s="222"/>
      <c r="AG866" s="222"/>
      <c r="AH866" s="222"/>
      <c r="AI866" s="222"/>
      <c r="AJ866" s="222"/>
      <c r="AK866" s="222"/>
      <c r="AL866" s="222"/>
      <c r="AM866" s="222"/>
      <c r="AN866" s="222"/>
      <c r="AO866" s="222"/>
      <c r="AP866" s="222"/>
      <c r="AQ866" s="222"/>
      <c r="AR866" s="222"/>
      <c r="AS866" s="222"/>
      <c r="AT866" s="222"/>
      <c r="AU866" s="222"/>
      <c r="AV866" s="222"/>
      <c r="AW866" s="222"/>
      <c r="AX866" s="222"/>
    </row>
    <row r="867" spans="1:50" ht="15.75" customHeight="1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  <c r="AE867" s="222"/>
      <c r="AF867" s="222"/>
      <c r="AG867" s="222"/>
      <c r="AH867" s="222"/>
      <c r="AI867" s="222"/>
      <c r="AJ867" s="222"/>
      <c r="AK867" s="222"/>
      <c r="AL867" s="222"/>
      <c r="AM867" s="222"/>
      <c r="AN867" s="222"/>
      <c r="AO867" s="222"/>
      <c r="AP867" s="222"/>
      <c r="AQ867" s="222"/>
      <c r="AR867" s="222"/>
      <c r="AS867" s="222"/>
      <c r="AT867" s="222"/>
      <c r="AU867" s="222"/>
      <c r="AV867" s="222"/>
      <c r="AW867" s="222"/>
      <c r="AX867" s="222"/>
    </row>
    <row r="868" spans="1:50" ht="15.75" customHeight="1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  <c r="AE868" s="222"/>
      <c r="AF868" s="222"/>
      <c r="AG868" s="222"/>
      <c r="AH868" s="222"/>
      <c r="AI868" s="222"/>
      <c r="AJ868" s="222"/>
      <c r="AK868" s="222"/>
      <c r="AL868" s="222"/>
      <c r="AM868" s="222"/>
      <c r="AN868" s="222"/>
      <c r="AO868" s="222"/>
      <c r="AP868" s="222"/>
      <c r="AQ868" s="222"/>
      <c r="AR868" s="222"/>
      <c r="AS868" s="222"/>
      <c r="AT868" s="222"/>
      <c r="AU868" s="222"/>
      <c r="AV868" s="222"/>
      <c r="AW868" s="222"/>
      <c r="AX868" s="222"/>
    </row>
    <row r="869" spans="1:50" ht="15.75" customHeight="1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  <c r="AE869" s="222"/>
      <c r="AF869" s="222"/>
      <c r="AG869" s="222"/>
      <c r="AH869" s="222"/>
      <c r="AI869" s="222"/>
      <c r="AJ869" s="222"/>
      <c r="AK869" s="222"/>
      <c r="AL869" s="222"/>
      <c r="AM869" s="222"/>
      <c r="AN869" s="222"/>
      <c r="AO869" s="222"/>
      <c r="AP869" s="222"/>
      <c r="AQ869" s="222"/>
      <c r="AR869" s="222"/>
      <c r="AS869" s="222"/>
      <c r="AT869" s="222"/>
      <c r="AU869" s="222"/>
      <c r="AV869" s="222"/>
      <c r="AW869" s="222"/>
      <c r="AX869" s="222"/>
    </row>
    <row r="870" spans="1:50" ht="15.75" customHeight="1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  <c r="AE870" s="222"/>
      <c r="AF870" s="222"/>
      <c r="AG870" s="222"/>
      <c r="AH870" s="222"/>
      <c r="AI870" s="222"/>
      <c r="AJ870" s="222"/>
      <c r="AK870" s="222"/>
      <c r="AL870" s="222"/>
      <c r="AM870" s="222"/>
      <c r="AN870" s="222"/>
      <c r="AO870" s="222"/>
      <c r="AP870" s="222"/>
      <c r="AQ870" s="222"/>
      <c r="AR870" s="222"/>
      <c r="AS870" s="222"/>
      <c r="AT870" s="222"/>
      <c r="AU870" s="222"/>
      <c r="AV870" s="222"/>
      <c r="AW870" s="222"/>
      <c r="AX870" s="222"/>
    </row>
    <row r="871" spans="1:50" ht="15.75" customHeight="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  <c r="AE871" s="222"/>
      <c r="AF871" s="222"/>
      <c r="AG871" s="222"/>
      <c r="AH871" s="222"/>
      <c r="AI871" s="222"/>
      <c r="AJ871" s="222"/>
      <c r="AK871" s="222"/>
      <c r="AL871" s="222"/>
      <c r="AM871" s="222"/>
      <c r="AN871" s="222"/>
      <c r="AO871" s="222"/>
      <c r="AP871" s="222"/>
      <c r="AQ871" s="222"/>
      <c r="AR871" s="222"/>
      <c r="AS871" s="222"/>
      <c r="AT871" s="222"/>
      <c r="AU871" s="222"/>
      <c r="AV871" s="222"/>
      <c r="AW871" s="222"/>
      <c r="AX871" s="222"/>
    </row>
    <row r="872" spans="1:50" ht="15.75" customHeight="1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  <c r="AE872" s="222"/>
      <c r="AF872" s="222"/>
      <c r="AG872" s="222"/>
      <c r="AH872" s="222"/>
      <c r="AI872" s="222"/>
      <c r="AJ872" s="222"/>
      <c r="AK872" s="222"/>
      <c r="AL872" s="222"/>
      <c r="AM872" s="222"/>
      <c r="AN872" s="222"/>
      <c r="AO872" s="222"/>
      <c r="AP872" s="222"/>
      <c r="AQ872" s="222"/>
      <c r="AR872" s="222"/>
      <c r="AS872" s="222"/>
      <c r="AT872" s="222"/>
      <c r="AU872" s="222"/>
      <c r="AV872" s="222"/>
      <c r="AW872" s="222"/>
      <c r="AX872" s="222"/>
    </row>
    <row r="873" spans="1:50" ht="15.75" customHeight="1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  <c r="AE873" s="222"/>
      <c r="AF873" s="222"/>
      <c r="AG873" s="222"/>
      <c r="AH873" s="222"/>
      <c r="AI873" s="222"/>
      <c r="AJ873" s="222"/>
      <c r="AK873" s="222"/>
      <c r="AL873" s="222"/>
      <c r="AM873" s="222"/>
      <c r="AN873" s="222"/>
      <c r="AO873" s="222"/>
      <c r="AP873" s="222"/>
      <c r="AQ873" s="222"/>
      <c r="AR873" s="222"/>
      <c r="AS873" s="222"/>
      <c r="AT873" s="222"/>
      <c r="AU873" s="222"/>
      <c r="AV873" s="222"/>
      <c r="AW873" s="222"/>
      <c r="AX873" s="222"/>
    </row>
    <row r="874" spans="1:50" ht="15.75" customHeight="1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  <c r="AM874" s="222"/>
      <c r="AN874" s="222"/>
      <c r="AO874" s="222"/>
      <c r="AP874" s="222"/>
      <c r="AQ874" s="222"/>
      <c r="AR874" s="222"/>
      <c r="AS874" s="222"/>
      <c r="AT874" s="222"/>
      <c r="AU874" s="222"/>
      <c r="AV874" s="222"/>
      <c r="AW874" s="222"/>
      <c r="AX874" s="222"/>
    </row>
    <row r="875" spans="1:50" ht="15.75" customHeight="1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  <c r="AE875" s="222"/>
      <c r="AF875" s="222"/>
      <c r="AG875" s="222"/>
      <c r="AH875" s="222"/>
      <c r="AI875" s="222"/>
      <c r="AJ875" s="222"/>
      <c r="AK875" s="222"/>
      <c r="AL875" s="222"/>
      <c r="AM875" s="222"/>
      <c r="AN875" s="222"/>
      <c r="AO875" s="222"/>
      <c r="AP875" s="222"/>
      <c r="AQ875" s="222"/>
      <c r="AR875" s="222"/>
      <c r="AS875" s="222"/>
      <c r="AT875" s="222"/>
      <c r="AU875" s="222"/>
      <c r="AV875" s="222"/>
      <c r="AW875" s="222"/>
      <c r="AX875" s="222"/>
    </row>
    <row r="876" spans="1:50" ht="15.75" customHeight="1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  <c r="AE876" s="222"/>
      <c r="AF876" s="222"/>
      <c r="AG876" s="222"/>
      <c r="AH876" s="222"/>
      <c r="AI876" s="222"/>
      <c r="AJ876" s="222"/>
      <c r="AK876" s="222"/>
      <c r="AL876" s="222"/>
      <c r="AM876" s="222"/>
      <c r="AN876" s="222"/>
      <c r="AO876" s="222"/>
      <c r="AP876" s="222"/>
      <c r="AQ876" s="222"/>
      <c r="AR876" s="222"/>
      <c r="AS876" s="222"/>
      <c r="AT876" s="222"/>
      <c r="AU876" s="222"/>
      <c r="AV876" s="222"/>
      <c r="AW876" s="222"/>
      <c r="AX876" s="222"/>
    </row>
    <row r="877" spans="1:50" ht="15.75" customHeight="1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  <c r="AE877" s="222"/>
      <c r="AF877" s="222"/>
      <c r="AG877" s="222"/>
      <c r="AH877" s="222"/>
      <c r="AI877" s="222"/>
      <c r="AJ877" s="222"/>
      <c r="AK877" s="222"/>
      <c r="AL877" s="222"/>
      <c r="AM877" s="222"/>
      <c r="AN877" s="222"/>
      <c r="AO877" s="222"/>
      <c r="AP877" s="222"/>
      <c r="AQ877" s="222"/>
      <c r="AR877" s="222"/>
      <c r="AS877" s="222"/>
      <c r="AT877" s="222"/>
      <c r="AU877" s="222"/>
      <c r="AV877" s="222"/>
      <c r="AW877" s="222"/>
      <c r="AX877" s="222"/>
    </row>
    <row r="878" spans="1:50" ht="15.75" customHeight="1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  <c r="AE878" s="222"/>
      <c r="AF878" s="222"/>
      <c r="AG878" s="222"/>
      <c r="AH878" s="222"/>
      <c r="AI878" s="222"/>
      <c r="AJ878" s="222"/>
      <c r="AK878" s="222"/>
      <c r="AL878" s="222"/>
      <c r="AM878" s="222"/>
      <c r="AN878" s="222"/>
      <c r="AO878" s="222"/>
      <c r="AP878" s="222"/>
      <c r="AQ878" s="222"/>
      <c r="AR878" s="222"/>
      <c r="AS878" s="222"/>
      <c r="AT878" s="222"/>
      <c r="AU878" s="222"/>
      <c r="AV878" s="222"/>
      <c r="AW878" s="222"/>
      <c r="AX878" s="222"/>
    </row>
    <row r="879" spans="1:50" ht="15.75" customHeight="1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  <c r="AE879" s="222"/>
      <c r="AF879" s="222"/>
      <c r="AG879" s="222"/>
      <c r="AH879" s="222"/>
      <c r="AI879" s="222"/>
      <c r="AJ879" s="222"/>
      <c r="AK879" s="222"/>
      <c r="AL879" s="222"/>
      <c r="AM879" s="222"/>
      <c r="AN879" s="222"/>
      <c r="AO879" s="222"/>
      <c r="AP879" s="222"/>
      <c r="AQ879" s="222"/>
      <c r="AR879" s="222"/>
      <c r="AS879" s="222"/>
      <c r="AT879" s="222"/>
      <c r="AU879" s="222"/>
      <c r="AV879" s="222"/>
      <c r="AW879" s="222"/>
      <c r="AX879" s="222"/>
    </row>
    <row r="880" spans="1:50" ht="15.75" customHeight="1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  <c r="AE880" s="222"/>
      <c r="AF880" s="222"/>
      <c r="AG880" s="222"/>
      <c r="AH880" s="222"/>
      <c r="AI880" s="222"/>
      <c r="AJ880" s="222"/>
      <c r="AK880" s="222"/>
      <c r="AL880" s="222"/>
      <c r="AM880" s="222"/>
      <c r="AN880" s="222"/>
      <c r="AO880" s="222"/>
      <c r="AP880" s="222"/>
      <c r="AQ880" s="222"/>
      <c r="AR880" s="222"/>
      <c r="AS880" s="222"/>
      <c r="AT880" s="222"/>
      <c r="AU880" s="222"/>
      <c r="AV880" s="222"/>
      <c r="AW880" s="222"/>
      <c r="AX880" s="222"/>
    </row>
    <row r="881" spans="1:50" ht="15.75" customHeight="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  <c r="AE881" s="222"/>
      <c r="AF881" s="222"/>
      <c r="AG881" s="222"/>
      <c r="AH881" s="222"/>
      <c r="AI881" s="222"/>
      <c r="AJ881" s="222"/>
      <c r="AK881" s="222"/>
      <c r="AL881" s="222"/>
      <c r="AM881" s="222"/>
      <c r="AN881" s="222"/>
      <c r="AO881" s="222"/>
      <c r="AP881" s="222"/>
      <c r="AQ881" s="222"/>
      <c r="AR881" s="222"/>
      <c r="AS881" s="222"/>
      <c r="AT881" s="222"/>
      <c r="AU881" s="222"/>
      <c r="AV881" s="222"/>
      <c r="AW881" s="222"/>
      <c r="AX881" s="222"/>
    </row>
    <row r="882" spans="1:50" ht="15.75" customHeight="1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  <c r="AE882" s="222"/>
      <c r="AF882" s="222"/>
      <c r="AG882" s="222"/>
      <c r="AH882" s="222"/>
      <c r="AI882" s="222"/>
      <c r="AJ882" s="222"/>
      <c r="AK882" s="222"/>
      <c r="AL882" s="222"/>
      <c r="AM882" s="222"/>
      <c r="AN882" s="222"/>
      <c r="AO882" s="222"/>
      <c r="AP882" s="222"/>
      <c r="AQ882" s="222"/>
      <c r="AR882" s="222"/>
      <c r="AS882" s="222"/>
      <c r="AT882" s="222"/>
      <c r="AU882" s="222"/>
      <c r="AV882" s="222"/>
      <c r="AW882" s="222"/>
      <c r="AX882" s="222"/>
    </row>
    <row r="883" spans="1:50" ht="15.75" customHeight="1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  <c r="AE883" s="222"/>
      <c r="AF883" s="222"/>
      <c r="AG883" s="222"/>
      <c r="AH883" s="222"/>
      <c r="AI883" s="222"/>
      <c r="AJ883" s="222"/>
      <c r="AK883" s="222"/>
      <c r="AL883" s="222"/>
      <c r="AM883" s="222"/>
      <c r="AN883" s="222"/>
      <c r="AO883" s="222"/>
      <c r="AP883" s="222"/>
      <c r="AQ883" s="222"/>
      <c r="AR883" s="222"/>
      <c r="AS883" s="222"/>
      <c r="AT883" s="222"/>
      <c r="AU883" s="222"/>
      <c r="AV883" s="222"/>
      <c r="AW883" s="222"/>
      <c r="AX883" s="222"/>
    </row>
    <row r="884" spans="1:50" ht="15.75" customHeight="1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  <c r="AE884" s="222"/>
      <c r="AF884" s="222"/>
      <c r="AG884" s="222"/>
      <c r="AH884" s="222"/>
      <c r="AI884" s="222"/>
      <c r="AJ884" s="222"/>
      <c r="AK884" s="222"/>
      <c r="AL884" s="222"/>
      <c r="AM884" s="222"/>
      <c r="AN884" s="222"/>
      <c r="AO884" s="222"/>
      <c r="AP884" s="222"/>
      <c r="AQ884" s="222"/>
      <c r="AR884" s="222"/>
      <c r="AS884" s="222"/>
      <c r="AT884" s="222"/>
      <c r="AU884" s="222"/>
      <c r="AV884" s="222"/>
      <c r="AW884" s="222"/>
      <c r="AX884" s="222"/>
    </row>
    <row r="885" spans="1:50" ht="15.75" customHeight="1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  <c r="AE885" s="222"/>
      <c r="AF885" s="222"/>
      <c r="AG885" s="222"/>
      <c r="AH885" s="222"/>
      <c r="AI885" s="222"/>
      <c r="AJ885" s="222"/>
      <c r="AK885" s="222"/>
      <c r="AL885" s="222"/>
      <c r="AM885" s="222"/>
      <c r="AN885" s="222"/>
      <c r="AO885" s="222"/>
      <c r="AP885" s="222"/>
      <c r="AQ885" s="222"/>
      <c r="AR885" s="222"/>
      <c r="AS885" s="222"/>
      <c r="AT885" s="222"/>
      <c r="AU885" s="222"/>
      <c r="AV885" s="222"/>
      <c r="AW885" s="222"/>
      <c r="AX885" s="222"/>
    </row>
    <row r="886" spans="1:50" ht="15.75" customHeight="1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  <c r="AE886" s="222"/>
      <c r="AF886" s="222"/>
      <c r="AG886" s="222"/>
      <c r="AH886" s="222"/>
      <c r="AI886" s="222"/>
      <c r="AJ886" s="222"/>
      <c r="AK886" s="222"/>
      <c r="AL886" s="222"/>
      <c r="AM886" s="222"/>
      <c r="AN886" s="222"/>
      <c r="AO886" s="222"/>
      <c r="AP886" s="222"/>
      <c r="AQ886" s="222"/>
      <c r="AR886" s="222"/>
      <c r="AS886" s="222"/>
      <c r="AT886" s="222"/>
      <c r="AU886" s="222"/>
      <c r="AV886" s="222"/>
      <c r="AW886" s="222"/>
      <c r="AX886" s="222"/>
    </row>
    <row r="887" spans="1:50" ht="15.75" customHeight="1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  <c r="AE887" s="222"/>
      <c r="AF887" s="222"/>
      <c r="AG887" s="222"/>
      <c r="AH887" s="222"/>
      <c r="AI887" s="222"/>
      <c r="AJ887" s="222"/>
      <c r="AK887" s="222"/>
      <c r="AL887" s="222"/>
      <c r="AM887" s="222"/>
      <c r="AN887" s="222"/>
      <c r="AO887" s="222"/>
      <c r="AP887" s="222"/>
      <c r="AQ887" s="222"/>
      <c r="AR887" s="222"/>
      <c r="AS887" s="222"/>
      <c r="AT887" s="222"/>
      <c r="AU887" s="222"/>
      <c r="AV887" s="222"/>
      <c r="AW887" s="222"/>
      <c r="AX887" s="222"/>
    </row>
    <row r="888" spans="1:50" ht="15.75" customHeight="1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  <c r="AE888" s="222"/>
      <c r="AF888" s="222"/>
      <c r="AG888" s="222"/>
      <c r="AH888" s="222"/>
      <c r="AI888" s="222"/>
      <c r="AJ888" s="222"/>
      <c r="AK888" s="222"/>
      <c r="AL888" s="222"/>
      <c r="AM888" s="222"/>
      <c r="AN888" s="222"/>
      <c r="AO888" s="222"/>
      <c r="AP888" s="222"/>
      <c r="AQ888" s="222"/>
      <c r="AR888" s="222"/>
      <c r="AS888" s="222"/>
      <c r="AT888" s="222"/>
      <c r="AU888" s="222"/>
      <c r="AV888" s="222"/>
      <c r="AW888" s="222"/>
      <c r="AX888" s="222"/>
    </row>
    <row r="889" spans="1:50" ht="15.75" customHeight="1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  <c r="AE889" s="222"/>
      <c r="AF889" s="222"/>
      <c r="AG889" s="222"/>
      <c r="AH889" s="222"/>
      <c r="AI889" s="222"/>
      <c r="AJ889" s="222"/>
      <c r="AK889" s="222"/>
      <c r="AL889" s="222"/>
      <c r="AM889" s="222"/>
      <c r="AN889" s="222"/>
      <c r="AO889" s="222"/>
      <c r="AP889" s="222"/>
      <c r="AQ889" s="222"/>
      <c r="AR889" s="222"/>
      <c r="AS889" s="222"/>
      <c r="AT889" s="222"/>
      <c r="AU889" s="222"/>
      <c r="AV889" s="222"/>
      <c r="AW889" s="222"/>
      <c r="AX889" s="222"/>
    </row>
    <row r="890" spans="1:50" ht="15.75" customHeight="1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  <c r="AE890" s="222"/>
      <c r="AF890" s="222"/>
      <c r="AG890" s="222"/>
      <c r="AH890" s="222"/>
      <c r="AI890" s="222"/>
      <c r="AJ890" s="222"/>
      <c r="AK890" s="222"/>
      <c r="AL890" s="222"/>
      <c r="AM890" s="222"/>
      <c r="AN890" s="222"/>
      <c r="AO890" s="222"/>
      <c r="AP890" s="222"/>
      <c r="AQ890" s="222"/>
      <c r="AR890" s="222"/>
      <c r="AS890" s="222"/>
      <c r="AT890" s="222"/>
      <c r="AU890" s="222"/>
      <c r="AV890" s="222"/>
      <c r="AW890" s="222"/>
      <c r="AX890" s="222"/>
    </row>
    <row r="891" spans="1:50" ht="15.75" customHeight="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  <c r="AE891" s="222"/>
      <c r="AF891" s="222"/>
      <c r="AG891" s="222"/>
      <c r="AH891" s="222"/>
      <c r="AI891" s="222"/>
      <c r="AJ891" s="222"/>
      <c r="AK891" s="222"/>
      <c r="AL891" s="222"/>
      <c r="AM891" s="222"/>
      <c r="AN891" s="222"/>
      <c r="AO891" s="222"/>
      <c r="AP891" s="222"/>
      <c r="AQ891" s="222"/>
      <c r="AR891" s="222"/>
      <c r="AS891" s="222"/>
      <c r="AT891" s="222"/>
      <c r="AU891" s="222"/>
      <c r="AV891" s="222"/>
      <c r="AW891" s="222"/>
      <c r="AX891" s="222"/>
    </row>
    <row r="892" spans="1:50" ht="15.75" customHeight="1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  <c r="AE892" s="222"/>
      <c r="AF892" s="222"/>
      <c r="AG892" s="222"/>
      <c r="AH892" s="222"/>
      <c r="AI892" s="222"/>
      <c r="AJ892" s="222"/>
      <c r="AK892" s="222"/>
      <c r="AL892" s="222"/>
      <c r="AM892" s="222"/>
      <c r="AN892" s="222"/>
      <c r="AO892" s="222"/>
      <c r="AP892" s="222"/>
      <c r="AQ892" s="222"/>
      <c r="AR892" s="222"/>
      <c r="AS892" s="222"/>
      <c r="AT892" s="222"/>
      <c r="AU892" s="222"/>
      <c r="AV892" s="222"/>
      <c r="AW892" s="222"/>
      <c r="AX892" s="222"/>
    </row>
    <row r="893" spans="1:50" ht="15.75" customHeight="1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  <c r="AE893" s="222"/>
      <c r="AF893" s="222"/>
      <c r="AG893" s="222"/>
      <c r="AH893" s="222"/>
      <c r="AI893" s="222"/>
      <c r="AJ893" s="222"/>
      <c r="AK893" s="222"/>
      <c r="AL893" s="222"/>
      <c r="AM893" s="222"/>
      <c r="AN893" s="222"/>
      <c r="AO893" s="222"/>
      <c r="AP893" s="222"/>
      <c r="AQ893" s="222"/>
      <c r="AR893" s="222"/>
      <c r="AS893" s="222"/>
      <c r="AT893" s="222"/>
      <c r="AU893" s="222"/>
      <c r="AV893" s="222"/>
      <c r="AW893" s="222"/>
      <c r="AX893" s="222"/>
    </row>
    <row r="894" spans="1:50" ht="15.75" customHeight="1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  <c r="AE894" s="222"/>
      <c r="AF894" s="222"/>
      <c r="AG894" s="222"/>
      <c r="AH894" s="222"/>
      <c r="AI894" s="222"/>
      <c r="AJ894" s="222"/>
      <c r="AK894" s="222"/>
      <c r="AL894" s="222"/>
      <c r="AM894" s="222"/>
      <c r="AN894" s="222"/>
      <c r="AO894" s="222"/>
      <c r="AP894" s="222"/>
      <c r="AQ894" s="222"/>
      <c r="AR894" s="222"/>
      <c r="AS894" s="222"/>
      <c r="AT894" s="222"/>
      <c r="AU894" s="222"/>
      <c r="AV894" s="222"/>
      <c r="AW894" s="222"/>
      <c r="AX894" s="222"/>
    </row>
    <row r="895" spans="1:50" ht="15.75" customHeight="1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  <c r="AE895" s="222"/>
      <c r="AF895" s="222"/>
      <c r="AG895" s="222"/>
      <c r="AH895" s="222"/>
      <c r="AI895" s="222"/>
      <c r="AJ895" s="222"/>
      <c r="AK895" s="222"/>
      <c r="AL895" s="222"/>
      <c r="AM895" s="222"/>
      <c r="AN895" s="222"/>
      <c r="AO895" s="222"/>
      <c r="AP895" s="222"/>
      <c r="AQ895" s="222"/>
      <c r="AR895" s="222"/>
      <c r="AS895" s="222"/>
      <c r="AT895" s="222"/>
      <c r="AU895" s="222"/>
      <c r="AV895" s="222"/>
      <c r="AW895" s="222"/>
      <c r="AX895" s="222"/>
    </row>
    <row r="896" spans="1:50" ht="15.75" customHeight="1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  <c r="AE896" s="222"/>
      <c r="AF896" s="222"/>
      <c r="AG896" s="222"/>
      <c r="AH896" s="222"/>
      <c r="AI896" s="222"/>
      <c r="AJ896" s="222"/>
      <c r="AK896" s="222"/>
      <c r="AL896" s="222"/>
      <c r="AM896" s="222"/>
      <c r="AN896" s="222"/>
      <c r="AO896" s="222"/>
      <c r="AP896" s="222"/>
      <c r="AQ896" s="222"/>
      <c r="AR896" s="222"/>
      <c r="AS896" s="222"/>
      <c r="AT896" s="222"/>
      <c r="AU896" s="222"/>
      <c r="AV896" s="222"/>
      <c r="AW896" s="222"/>
      <c r="AX896" s="222"/>
    </row>
    <row r="897" spans="1:50" ht="15.75" customHeight="1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  <c r="AE897" s="222"/>
      <c r="AF897" s="222"/>
      <c r="AG897" s="222"/>
      <c r="AH897" s="222"/>
      <c r="AI897" s="222"/>
      <c r="AJ897" s="222"/>
      <c r="AK897" s="222"/>
      <c r="AL897" s="222"/>
      <c r="AM897" s="222"/>
      <c r="AN897" s="222"/>
      <c r="AO897" s="222"/>
      <c r="AP897" s="222"/>
      <c r="AQ897" s="222"/>
      <c r="AR897" s="222"/>
      <c r="AS897" s="222"/>
      <c r="AT897" s="222"/>
      <c r="AU897" s="222"/>
      <c r="AV897" s="222"/>
      <c r="AW897" s="222"/>
      <c r="AX897" s="222"/>
    </row>
    <row r="898" spans="1:50" ht="15.75" customHeight="1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  <c r="AE898" s="222"/>
      <c r="AF898" s="222"/>
      <c r="AG898" s="222"/>
      <c r="AH898" s="222"/>
      <c r="AI898" s="222"/>
      <c r="AJ898" s="222"/>
      <c r="AK898" s="222"/>
      <c r="AL898" s="222"/>
      <c r="AM898" s="222"/>
      <c r="AN898" s="222"/>
      <c r="AO898" s="222"/>
      <c r="AP898" s="222"/>
      <c r="AQ898" s="222"/>
      <c r="AR898" s="222"/>
      <c r="AS898" s="222"/>
      <c r="AT898" s="222"/>
      <c r="AU898" s="222"/>
      <c r="AV898" s="222"/>
      <c r="AW898" s="222"/>
      <c r="AX898" s="222"/>
    </row>
    <row r="899" spans="1:50" ht="15.75" customHeight="1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  <c r="AE899" s="222"/>
      <c r="AF899" s="222"/>
      <c r="AG899" s="222"/>
      <c r="AH899" s="222"/>
      <c r="AI899" s="222"/>
      <c r="AJ899" s="222"/>
      <c r="AK899" s="222"/>
      <c r="AL899" s="222"/>
      <c r="AM899" s="222"/>
      <c r="AN899" s="222"/>
      <c r="AO899" s="222"/>
      <c r="AP899" s="222"/>
      <c r="AQ899" s="222"/>
      <c r="AR899" s="222"/>
      <c r="AS899" s="222"/>
      <c r="AT899" s="222"/>
      <c r="AU899" s="222"/>
      <c r="AV899" s="222"/>
      <c r="AW899" s="222"/>
      <c r="AX899" s="222"/>
    </row>
    <row r="900" spans="1:50" ht="15.75" customHeight="1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  <c r="AC900" s="222"/>
      <c r="AD900" s="222"/>
      <c r="AE900" s="222"/>
      <c r="AF900" s="222"/>
      <c r="AG900" s="222"/>
      <c r="AH900" s="222"/>
      <c r="AI900" s="222"/>
      <c r="AJ900" s="222"/>
      <c r="AK900" s="222"/>
      <c r="AL900" s="222"/>
      <c r="AM900" s="222"/>
      <c r="AN900" s="222"/>
      <c r="AO900" s="222"/>
      <c r="AP900" s="222"/>
      <c r="AQ900" s="222"/>
      <c r="AR900" s="222"/>
      <c r="AS900" s="222"/>
      <c r="AT900" s="222"/>
      <c r="AU900" s="222"/>
      <c r="AV900" s="222"/>
      <c r="AW900" s="222"/>
      <c r="AX900" s="222"/>
    </row>
    <row r="901" spans="1:50" ht="15.75" customHeight="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  <c r="AE901" s="222"/>
      <c r="AF901" s="222"/>
      <c r="AG901" s="222"/>
      <c r="AH901" s="222"/>
      <c r="AI901" s="222"/>
      <c r="AJ901" s="222"/>
      <c r="AK901" s="222"/>
      <c r="AL901" s="222"/>
      <c r="AM901" s="222"/>
      <c r="AN901" s="222"/>
      <c r="AO901" s="222"/>
      <c r="AP901" s="222"/>
      <c r="AQ901" s="222"/>
      <c r="AR901" s="222"/>
      <c r="AS901" s="222"/>
      <c r="AT901" s="222"/>
      <c r="AU901" s="222"/>
      <c r="AV901" s="222"/>
      <c r="AW901" s="222"/>
      <c r="AX901" s="222"/>
    </row>
    <row r="902" spans="1:50" ht="15.75" customHeight="1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  <c r="AE902" s="222"/>
      <c r="AF902" s="222"/>
      <c r="AG902" s="222"/>
      <c r="AH902" s="222"/>
      <c r="AI902" s="222"/>
      <c r="AJ902" s="222"/>
      <c r="AK902" s="222"/>
      <c r="AL902" s="222"/>
      <c r="AM902" s="222"/>
      <c r="AN902" s="222"/>
      <c r="AO902" s="222"/>
      <c r="AP902" s="222"/>
      <c r="AQ902" s="222"/>
      <c r="AR902" s="222"/>
      <c r="AS902" s="222"/>
      <c r="AT902" s="222"/>
      <c r="AU902" s="222"/>
      <c r="AV902" s="222"/>
      <c r="AW902" s="222"/>
      <c r="AX902" s="222"/>
    </row>
    <row r="903" spans="1:50" ht="15.75" customHeight="1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  <c r="AE903" s="222"/>
      <c r="AF903" s="222"/>
      <c r="AG903" s="222"/>
      <c r="AH903" s="222"/>
      <c r="AI903" s="222"/>
      <c r="AJ903" s="222"/>
      <c r="AK903" s="222"/>
      <c r="AL903" s="222"/>
      <c r="AM903" s="222"/>
      <c r="AN903" s="222"/>
      <c r="AO903" s="222"/>
      <c r="AP903" s="222"/>
      <c r="AQ903" s="222"/>
      <c r="AR903" s="222"/>
      <c r="AS903" s="222"/>
      <c r="AT903" s="222"/>
      <c r="AU903" s="222"/>
      <c r="AV903" s="222"/>
      <c r="AW903" s="222"/>
      <c r="AX903" s="222"/>
    </row>
    <row r="904" spans="1:50" ht="15.75" customHeight="1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  <c r="AE904" s="222"/>
      <c r="AF904" s="222"/>
      <c r="AG904" s="222"/>
      <c r="AH904" s="222"/>
      <c r="AI904" s="222"/>
      <c r="AJ904" s="222"/>
      <c r="AK904" s="222"/>
      <c r="AL904" s="222"/>
      <c r="AM904" s="222"/>
      <c r="AN904" s="222"/>
      <c r="AO904" s="222"/>
      <c r="AP904" s="222"/>
      <c r="AQ904" s="222"/>
      <c r="AR904" s="222"/>
      <c r="AS904" s="222"/>
      <c r="AT904" s="222"/>
      <c r="AU904" s="222"/>
      <c r="AV904" s="222"/>
      <c r="AW904" s="222"/>
      <c r="AX904" s="222"/>
    </row>
    <row r="905" spans="1:50" ht="15.75" customHeight="1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  <c r="AE905" s="222"/>
      <c r="AF905" s="222"/>
      <c r="AG905" s="222"/>
      <c r="AH905" s="222"/>
      <c r="AI905" s="222"/>
      <c r="AJ905" s="222"/>
      <c r="AK905" s="222"/>
      <c r="AL905" s="222"/>
      <c r="AM905" s="222"/>
      <c r="AN905" s="222"/>
      <c r="AO905" s="222"/>
      <c r="AP905" s="222"/>
      <c r="AQ905" s="222"/>
      <c r="AR905" s="222"/>
      <c r="AS905" s="222"/>
      <c r="AT905" s="222"/>
      <c r="AU905" s="222"/>
      <c r="AV905" s="222"/>
      <c r="AW905" s="222"/>
      <c r="AX905" s="222"/>
    </row>
    <row r="906" spans="1:50" ht="15.75" customHeight="1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  <c r="AM906" s="222"/>
      <c r="AN906" s="222"/>
      <c r="AO906" s="222"/>
      <c r="AP906" s="222"/>
      <c r="AQ906" s="222"/>
      <c r="AR906" s="222"/>
      <c r="AS906" s="222"/>
      <c r="AT906" s="222"/>
      <c r="AU906" s="222"/>
      <c r="AV906" s="222"/>
      <c r="AW906" s="222"/>
      <c r="AX906" s="222"/>
    </row>
    <row r="907" spans="1:50" ht="15.75" customHeight="1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  <c r="AE907" s="222"/>
      <c r="AF907" s="222"/>
      <c r="AG907" s="222"/>
      <c r="AH907" s="222"/>
      <c r="AI907" s="222"/>
      <c r="AJ907" s="222"/>
      <c r="AK907" s="222"/>
      <c r="AL907" s="222"/>
      <c r="AM907" s="222"/>
      <c r="AN907" s="222"/>
      <c r="AO907" s="222"/>
      <c r="AP907" s="222"/>
      <c r="AQ907" s="222"/>
      <c r="AR907" s="222"/>
      <c r="AS907" s="222"/>
      <c r="AT907" s="222"/>
      <c r="AU907" s="222"/>
      <c r="AV907" s="222"/>
      <c r="AW907" s="222"/>
      <c r="AX907" s="222"/>
    </row>
    <row r="908" spans="1:50" ht="15.75" customHeight="1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  <c r="AE908" s="222"/>
      <c r="AF908" s="222"/>
      <c r="AG908" s="222"/>
      <c r="AH908" s="222"/>
      <c r="AI908" s="222"/>
      <c r="AJ908" s="222"/>
      <c r="AK908" s="222"/>
      <c r="AL908" s="222"/>
      <c r="AM908" s="222"/>
      <c r="AN908" s="222"/>
      <c r="AO908" s="222"/>
      <c r="AP908" s="222"/>
      <c r="AQ908" s="222"/>
      <c r="AR908" s="222"/>
      <c r="AS908" s="222"/>
      <c r="AT908" s="222"/>
      <c r="AU908" s="222"/>
      <c r="AV908" s="222"/>
      <c r="AW908" s="222"/>
      <c r="AX908" s="222"/>
    </row>
    <row r="909" spans="1:50" ht="15.75" customHeight="1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  <c r="AE909" s="222"/>
      <c r="AF909" s="222"/>
      <c r="AG909" s="222"/>
      <c r="AH909" s="222"/>
      <c r="AI909" s="222"/>
      <c r="AJ909" s="222"/>
      <c r="AK909" s="222"/>
      <c r="AL909" s="222"/>
      <c r="AM909" s="222"/>
      <c r="AN909" s="222"/>
      <c r="AO909" s="222"/>
      <c r="AP909" s="222"/>
      <c r="AQ909" s="222"/>
      <c r="AR909" s="222"/>
      <c r="AS909" s="222"/>
      <c r="AT909" s="222"/>
      <c r="AU909" s="222"/>
      <c r="AV909" s="222"/>
      <c r="AW909" s="222"/>
      <c r="AX909" s="222"/>
    </row>
    <row r="910" spans="1:50" ht="15.75" customHeight="1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  <c r="AE910" s="222"/>
      <c r="AF910" s="222"/>
      <c r="AG910" s="222"/>
      <c r="AH910" s="222"/>
      <c r="AI910" s="222"/>
      <c r="AJ910" s="222"/>
      <c r="AK910" s="222"/>
      <c r="AL910" s="222"/>
      <c r="AM910" s="222"/>
      <c r="AN910" s="222"/>
      <c r="AO910" s="222"/>
      <c r="AP910" s="222"/>
      <c r="AQ910" s="222"/>
      <c r="AR910" s="222"/>
      <c r="AS910" s="222"/>
      <c r="AT910" s="222"/>
      <c r="AU910" s="222"/>
      <c r="AV910" s="222"/>
      <c r="AW910" s="222"/>
      <c r="AX910" s="222"/>
    </row>
    <row r="911" spans="1:50" ht="15.75" customHeight="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  <c r="AE911" s="222"/>
      <c r="AF911" s="222"/>
      <c r="AG911" s="222"/>
      <c r="AH911" s="222"/>
      <c r="AI911" s="222"/>
      <c r="AJ911" s="222"/>
      <c r="AK911" s="222"/>
      <c r="AL911" s="222"/>
      <c r="AM911" s="222"/>
      <c r="AN911" s="222"/>
      <c r="AO911" s="222"/>
      <c r="AP911" s="222"/>
      <c r="AQ911" s="222"/>
      <c r="AR911" s="222"/>
      <c r="AS911" s="222"/>
      <c r="AT911" s="222"/>
      <c r="AU911" s="222"/>
      <c r="AV911" s="222"/>
      <c r="AW911" s="222"/>
      <c r="AX911" s="222"/>
    </row>
    <row r="912" spans="1:50" ht="15.75" customHeight="1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  <c r="AE912" s="222"/>
      <c r="AF912" s="222"/>
      <c r="AG912" s="222"/>
      <c r="AH912" s="222"/>
      <c r="AI912" s="222"/>
      <c r="AJ912" s="222"/>
      <c r="AK912" s="222"/>
      <c r="AL912" s="222"/>
      <c r="AM912" s="222"/>
      <c r="AN912" s="222"/>
      <c r="AO912" s="222"/>
      <c r="AP912" s="222"/>
      <c r="AQ912" s="222"/>
      <c r="AR912" s="222"/>
      <c r="AS912" s="222"/>
      <c r="AT912" s="222"/>
      <c r="AU912" s="222"/>
      <c r="AV912" s="222"/>
      <c r="AW912" s="222"/>
      <c r="AX912" s="222"/>
    </row>
    <row r="913" spans="1:50" ht="15.75" customHeight="1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  <c r="AC913" s="222"/>
      <c r="AD913" s="222"/>
      <c r="AE913" s="222"/>
      <c r="AF913" s="222"/>
      <c r="AG913" s="222"/>
      <c r="AH913" s="222"/>
      <c r="AI913" s="222"/>
      <c r="AJ913" s="222"/>
      <c r="AK913" s="222"/>
      <c r="AL913" s="222"/>
      <c r="AM913" s="222"/>
      <c r="AN913" s="222"/>
      <c r="AO913" s="222"/>
      <c r="AP913" s="222"/>
      <c r="AQ913" s="222"/>
      <c r="AR913" s="222"/>
      <c r="AS913" s="222"/>
      <c r="AT913" s="222"/>
      <c r="AU913" s="222"/>
      <c r="AV913" s="222"/>
      <c r="AW913" s="222"/>
      <c r="AX913" s="222"/>
    </row>
    <row r="914" spans="1:50" ht="15.75" customHeight="1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  <c r="AC914" s="222"/>
      <c r="AD914" s="222"/>
      <c r="AE914" s="222"/>
      <c r="AF914" s="222"/>
      <c r="AG914" s="222"/>
      <c r="AH914" s="222"/>
      <c r="AI914" s="222"/>
      <c r="AJ914" s="222"/>
      <c r="AK914" s="222"/>
      <c r="AL914" s="222"/>
      <c r="AM914" s="222"/>
      <c r="AN914" s="222"/>
      <c r="AO914" s="222"/>
      <c r="AP914" s="222"/>
      <c r="AQ914" s="222"/>
      <c r="AR914" s="222"/>
      <c r="AS914" s="222"/>
      <c r="AT914" s="222"/>
      <c r="AU914" s="222"/>
      <c r="AV914" s="222"/>
      <c r="AW914" s="222"/>
      <c r="AX914" s="222"/>
    </row>
    <row r="915" spans="1:50" ht="15.75" customHeight="1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  <c r="AC915" s="222"/>
      <c r="AD915" s="222"/>
      <c r="AE915" s="222"/>
      <c r="AF915" s="222"/>
      <c r="AG915" s="222"/>
      <c r="AH915" s="222"/>
      <c r="AI915" s="222"/>
      <c r="AJ915" s="222"/>
      <c r="AK915" s="222"/>
      <c r="AL915" s="222"/>
      <c r="AM915" s="222"/>
      <c r="AN915" s="222"/>
      <c r="AO915" s="222"/>
      <c r="AP915" s="222"/>
      <c r="AQ915" s="222"/>
      <c r="AR915" s="222"/>
      <c r="AS915" s="222"/>
      <c r="AT915" s="222"/>
      <c r="AU915" s="222"/>
      <c r="AV915" s="222"/>
      <c r="AW915" s="222"/>
      <c r="AX915" s="222"/>
    </row>
    <row r="916" spans="1:50" ht="15.75" customHeight="1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  <c r="AC916" s="222"/>
      <c r="AD916" s="222"/>
      <c r="AE916" s="222"/>
      <c r="AF916" s="222"/>
      <c r="AG916" s="222"/>
      <c r="AH916" s="222"/>
      <c r="AI916" s="222"/>
      <c r="AJ916" s="222"/>
      <c r="AK916" s="222"/>
      <c r="AL916" s="222"/>
      <c r="AM916" s="222"/>
      <c r="AN916" s="222"/>
      <c r="AO916" s="222"/>
      <c r="AP916" s="222"/>
      <c r="AQ916" s="222"/>
      <c r="AR916" s="222"/>
      <c r="AS916" s="222"/>
      <c r="AT916" s="222"/>
      <c r="AU916" s="222"/>
      <c r="AV916" s="222"/>
      <c r="AW916" s="222"/>
      <c r="AX916" s="222"/>
    </row>
    <row r="917" spans="1:50" ht="15.75" customHeight="1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  <c r="AC917" s="222"/>
      <c r="AD917" s="222"/>
      <c r="AE917" s="222"/>
      <c r="AF917" s="222"/>
      <c r="AG917" s="222"/>
      <c r="AH917" s="222"/>
      <c r="AI917" s="222"/>
      <c r="AJ917" s="222"/>
      <c r="AK917" s="222"/>
      <c r="AL917" s="222"/>
      <c r="AM917" s="222"/>
      <c r="AN917" s="222"/>
      <c r="AO917" s="222"/>
      <c r="AP917" s="222"/>
      <c r="AQ917" s="222"/>
      <c r="AR917" s="222"/>
      <c r="AS917" s="222"/>
      <c r="AT917" s="222"/>
      <c r="AU917" s="222"/>
      <c r="AV917" s="222"/>
      <c r="AW917" s="222"/>
      <c r="AX917" s="222"/>
    </row>
    <row r="918" spans="1:50" ht="15.75" customHeight="1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  <c r="AC918" s="222"/>
      <c r="AD918" s="222"/>
      <c r="AE918" s="222"/>
      <c r="AF918" s="222"/>
      <c r="AG918" s="222"/>
      <c r="AH918" s="222"/>
      <c r="AI918" s="222"/>
      <c r="AJ918" s="222"/>
      <c r="AK918" s="222"/>
      <c r="AL918" s="222"/>
      <c r="AM918" s="222"/>
      <c r="AN918" s="222"/>
      <c r="AO918" s="222"/>
      <c r="AP918" s="222"/>
      <c r="AQ918" s="222"/>
      <c r="AR918" s="222"/>
      <c r="AS918" s="222"/>
      <c r="AT918" s="222"/>
      <c r="AU918" s="222"/>
      <c r="AV918" s="222"/>
      <c r="AW918" s="222"/>
      <c r="AX918" s="222"/>
    </row>
    <row r="919" spans="1:50" ht="15.75" customHeight="1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  <c r="AC919" s="222"/>
      <c r="AD919" s="222"/>
      <c r="AE919" s="222"/>
      <c r="AF919" s="222"/>
      <c r="AG919" s="222"/>
      <c r="AH919" s="222"/>
      <c r="AI919" s="222"/>
      <c r="AJ919" s="222"/>
      <c r="AK919" s="222"/>
      <c r="AL919" s="222"/>
      <c r="AM919" s="222"/>
      <c r="AN919" s="222"/>
      <c r="AO919" s="222"/>
      <c r="AP919" s="222"/>
      <c r="AQ919" s="222"/>
      <c r="AR919" s="222"/>
      <c r="AS919" s="222"/>
      <c r="AT919" s="222"/>
      <c r="AU919" s="222"/>
      <c r="AV919" s="222"/>
      <c r="AW919" s="222"/>
      <c r="AX919" s="222"/>
    </row>
    <row r="920" spans="1:50" ht="15.75" customHeight="1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  <c r="AC920" s="222"/>
      <c r="AD920" s="222"/>
      <c r="AE920" s="222"/>
      <c r="AF920" s="222"/>
      <c r="AG920" s="222"/>
      <c r="AH920" s="222"/>
      <c r="AI920" s="222"/>
      <c r="AJ920" s="222"/>
      <c r="AK920" s="222"/>
      <c r="AL920" s="222"/>
      <c r="AM920" s="222"/>
      <c r="AN920" s="222"/>
      <c r="AO920" s="222"/>
      <c r="AP920" s="222"/>
      <c r="AQ920" s="222"/>
      <c r="AR920" s="222"/>
      <c r="AS920" s="222"/>
      <c r="AT920" s="222"/>
      <c r="AU920" s="222"/>
      <c r="AV920" s="222"/>
      <c r="AW920" s="222"/>
      <c r="AX920" s="222"/>
    </row>
    <row r="921" spans="1:50" ht="15.75" customHeight="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  <c r="AC921" s="222"/>
      <c r="AD921" s="222"/>
      <c r="AE921" s="222"/>
      <c r="AF921" s="222"/>
      <c r="AG921" s="222"/>
      <c r="AH921" s="222"/>
      <c r="AI921" s="222"/>
      <c r="AJ921" s="222"/>
      <c r="AK921" s="222"/>
      <c r="AL921" s="222"/>
      <c r="AM921" s="222"/>
      <c r="AN921" s="222"/>
      <c r="AO921" s="222"/>
      <c r="AP921" s="222"/>
      <c r="AQ921" s="222"/>
      <c r="AR921" s="222"/>
      <c r="AS921" s="222"/>
      <c r="AT921" s="222"/>
      <c r="AU921" s="222"/>
      <c r="AV921" s="222"/>
      <c r="AW921" s="222"/>
      <c r="AX921" s="222"/>
    </row>
    <row r="922" spans="1:50" ht="15.75" customHeight="1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  <c r="AE922" s="222"/>
      <c r="AF922" s="222"/>
      <c r="AG922" s="222"/>
      <c r="AH922" s="222"/>
      <c r="AI922" s="222"/>
      <c r="AJ922" s="222"/>
      <c r="AK922" s="222"/>
      <c r="AL922" s="222"/>
      <c r="AM922" s="222"/>
      <c r="AN922" s="222"/>
      <c r="AO922" s="222"/>
      <c r="AP922" s="222"/>
      <c r="AQ922" s="222"/>
      <c r="AR922" s="222"/>
      <c r="AS922" s="222"/>
      <c r="AT922" s="222"/>
      <c r="AU922" s="222"/>
      <c r="AV922" s="222"/>
      <c r="AW922" s="222"/>
      <c r="AX922" s="222"/>
    </row>
    <row r="923" spans="1:50" ht="15.75" customHeight="1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  <c r="AE923" s="222"/>
      <c r="AF923" s="222"/>
      <c r="AG923" s="222"/>
      <c r="AH923" s="222"/>
      <c r="AI923" s="222"/>
      <c r="AJ923" s="222"/>
      <c r="AK923" s="222"/>
      <c r="AL923" s="222"/>
      <c r="AM923" s="222"/>
      <c r="AN923" s="222"/>
      <c r="AO923" s="222"/>
      <c r="AP923" s="222"/>
      <c r="AQ923" s="222"/>
      <c r="AR923" s="222"/>
      <c r="AS923" s="222"/>
      <c r="AT923" s="222"/>
      <c r="AU923" s="222"/>
      <c r="AV923" s="222"/>
      <c r="AW923" s="222"/>
      <c r="AX923" s="222"/>
    </row>
    <row r="924" spans="1:50" ht="15.75" customHeight="1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  <c r="AC924" s="222"/>
      <c r="AD924" s="222"/>
      <c r="AE924" s="222"/>
      <c r="AF924" s="222"/>
      <c r="AG924" s="222"/>
      <c r="AH924" s="222"/>
      <c r="AI924" s="222"/>
      <c r="AJ924" s="222"/>
      <c r="AK924" s="222"/>
      <c r="AL924" s="222"/>
      <c r="AM924" s="222"/>
      <c r="AN924" s="222"/>
      <c r="AO924" s="222"/>
      <c r="AP924" s="222"/>
      <c r="AQ924" s="222"/>
      <c r="AR924" s="222"/>
      <c r="AS924" s="222"/>
      <c r="AT924" s="222"/>
      <c r="AU924" s="222"/>
      <c r="AV924" s="222"/>
      <c r="AW924" s="222"/>
      <c r="AX924" s="222"/>
    </row>
    <row r="925" spans="1:50" ht="15.75" customHeight="1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  <c r="AC925" s="222"/>
      <c r="AD925" s="222"/>
      <c r="AE925" s="222"/>
      <c r="AF925" s="222"/>
      <c r="AG925" s="222"/>
      <c r="AH925" s="222"/>
      <c r="AI925" s="222"/>
      <c r="AJ925" s="222"/>
      <c r="AK925" s="222"/>
      <c r="AL925" s="222"/>
      <c r="AM925" s="222"/>
      <c r="AN925" s="222"/>
      <c r="AO925" s="222"/>
      <c r="AP925" s="222"/>
      <c r="AQ925" s="222"/>
      <c r="AR925" s="222"/>
      <c r="AS925" s="222"/>
      <c r="AT925" s="222"/>
      <c r="AU925" s="222"/>
      <c r="AV925" s="222"/>
      <c r="AW925" s="222"/>
      <c r="AX925" s="222"/>
    </row>
    <row r="926" spans="1:50" ht="15.75" customHeight="1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  <c r="AC926" s="222"/>
      <c r="AD926" s="222"/>
      <c r="AE926" s="222"/>
      <c r="AF926" s="222"/>
      <c r="AG926" s="222"/>
      <c r="AH926" s="222"/>
      <c r="AI926" s="222"/>
      <c r="AJ926" s="222"/>
      <c r="AK926" s="222"/>
      <c r="AL926" s="222"/>
      <c r="AM926" s="222"/>
      <c r="AN926" s="222"/>
      <c r="AO926" s="222"/>
      <c r="AP926" s="222"/>
      <c r="AQ926" s="222"/>
      <c r="AR926" s="222"/>
      <c r="AS926" s="222"/>
      <c r="AT926" s="222"/>
      <c r="AU926" s="222"/>
      <c r="AV926" s="222"/>
      <c r="AW926" s="222"/>
      <c r="AX926" s="222"/>
    </row>
    <row r="927" spans="1:50" ht="15.75" customHeight="1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  <c r="AF927" s="222"/>
      <c r="AG927" s="222"/>
      <c r="AH927" s="222"/>
      <c r="AI927" s="222"/>
      <c r="AJ927" s="222"/>
      <c r="AK927" s="222"/>
      <c r="AL927" s="222"/>
      <c r="AM927" s="222"/>
      <c r="AN927" s="222"/>
      <c r="AO927" s="222"/>
      <c r="AP927" s="222"/>
      <c r="AQ927" s="222"/>
      <c r="AR927" s="222"/>
      <c r="AS927" s="222"/>
      <c r="AT927" s="222"/>
      <c r="AU927" s="222"/>
      <c r="AV927" s="222"/>
      <c r="AW927" s="222"/>
      <c r="AX927" s="222"/>
    </row>
    <row r="928" spans="1:50" ht="15.75" customHeight="1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  <c r="AC928" s="222"/>
      <c r="AD928" s="222"/>
      <c r="AE928" s="222"/>
      <c r="AF928" s="222"/>
      <c r="AG928" s="222"/>
      <c r="AH928" s="222"/>
      <c r="AI928" s="222"/>
      <c r="AJ928" s="222"/>
      <c r="AK928" s="222"/>
      <c r="AL928" s="222"/>
      <c r="AM928" s="222"/>
      <c r="AN928" s="222"/>
      <c r="AO928" s="222"/>
      <c r="AP928" s="222"/>
      <c r="AQ928" s="222"/>
      <c r="AR928" s="222"/>
      <c r="AS928" s="222"/>
      <c r="AT928" s="222"/>
      <c r="AU928" s="222"/>
      <c r="AV928" s="222"/>
      <c r="AW928" s="222"/>
      <c r="AX928" s="222"/>
    </row>
    <row r="929" spans="1:50" ht="15.75" customHeight="1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  <c r="AC929" s="222"/>
      <c r="AD929" s="222"/>
      <c r="AE929" s="222"/>
      <c r="AF929" s="222"/>
      <c r="AG929" s="222"/>
      <c r="AH929" s="222"/>
      <c r="AI929" s="222"/>
      <c r="AJ929" s="222"/>
      <c r="AK929" s="222"/>
      <c r="AL929" s="222"/>
      <c r="AM929" s="222"/>
      <c r="AN929" s="222"/>
      <c r="AO929" s="222"/>
      <c r="AP929" s="222"/>
      <c r="AQ929" s="222"/>
      <c r="AR929" s="222"/>
      <c r="AS929" s="222"/>
      <c r="AT929" s="222"/>
      <c r="AU929" s="222"/>
      <c r="AV929" s="222"/>
      <c r="AW929" s="222"/>
      <c r="AX929" s="222"/>
    </row>
    <row r="930" spans="1:50" ht="15.75" customHeight="1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  <c r="AE930" s="222"/>
      <c r="AF930" s="222"/>
      <c r="AG930" s="222"/>
      <c r="AH930" s="222"/>
      <c r="AI930" s="222"/>
      <c r="AJ930" s="222"/>
      <c r="AK930" s="222"/>
      <c r="AL930" s="222"/>
      <c r="AM930" s="222"/>
      <c r="AN930" s="222"/>
      <c r="AO930" s="222"/>
      <c r="AP930" s="222"/>
      <c r="AQ930" s="222"/>
      <c r="AR930" s="222"/>
      <c r="AS930" s="222"/>
      <c r="AT930" s="222"/>
      <c r="AU930" s="222"/>
      <c r="AV930" s="222"/>
      <c r="AW930" s="222"/>
      <c r="AX930" s="222"/>
    </row>
    <row r="931" spans="1:50" ht="15.75" customHeight="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  <c r="AE931" s="222"/>
      <c r="AF931" s="222"/>
      <c r="AG931" s="222"/>
      <c r="AH931" s="222"/>
      <c r="AI931" s="222"/>
      <c r="AJ931" s="222"/>
      <c r="AK931" s="222"/>
      <c r="AL931" s="222"/>
      <c r="AM931" s="222"/>
      <c r="AN931" s="222"/>
      <c r="AO931" s="222"/>
      <c r="AP931" s="222"/>
      <c r="AQ931" s="222"/>
      <c r="AR931" s="222"/>
      <c r="AS931" s="222"/>
      <c r="AT931" s="222"/>
      <c r="AU931" s="222"/>
      <c r="AV931" s="222"/>
      <c r="AW931" s="222"/>
      <c r="AX931" s="222"/>
    </row>
    <row r="932" spans="1:50" ht="15.75" customHeight="1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  <c r="AC932" s="222"/>
      <c r="AD932" s="222"/>
      <c r="AE932" s="222"/>
      <c r="AF932" s="222"/>
      <c r="AG932" s="222"/>
      <c r="AH932" s="222"/>
      <c r="AI932" s="222"/>
      <c r="AJ932" s="222"/>
      <c r="AK932" s="222"/>
      <c r="AL932" s="222"/>
      <c r="AM932" s="222"/>
      <c r="AN932" s="222"/>
      <c r="AO932" s="222"/>
      <c r="AP932" s="222"/>
      <c r="AQ932" s="222"/>
      <c r="AR932" s="222"/>
      <c r="AS932" s="222"/>
      <c r="AT932" s="222"/>
      <c r="AU932" s="222"/>
      <c r="AV932" s="222"/>
      <c r="AW932" s="222"/>
      <c r="AX932" s="222"/>
    </row>
    <row r="933" spans="1:50" ht="15.75" customHeight="1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  <c r="AC933" s="222"/>
      <c r="AD933" s="222"/>
      <c r="AE933" s="222"/>
      <c r="AF933" s="222"/>
      <c r="AG933" s="222"/>
      <c r="AH933" s="222"/>
      <c r="AI933" s="222"/>
      <c r="AJ933" s="222"/>
      <c r="AK933" s="222"/>
      <c r="AL933" s="222"/>
      <c r="AM933" s="222"/>
      <c r="AN933" s="222"/>
      <c r="AO933" s="222"/>
      <c r="AP933" s="222"/>
      <c r="AQ933" s="222"/>
      <c r="AR933" s="222"/>
      <c r="AS933" s="222"/>
      <c r="AT933" s="222"/>
      <c r="AU933" s="222"/>
      <c r="AV933" s="222"/>
      <c r="AW933" s="222"/>
      <c r="AX933" s="222"/>
    </row>
    <row r="934" spans="1:50" ht="15.75" customHeight="1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  <c r="AE934" s="222"/>
      <c r="AF934" s="222"/>
      <c r="AG934" s="222"/>
      <c r="AH934" s="222"/>
      <c r="AI934" s="222"/>
      <c r="AJ934" s="222"/>
      <c r="AK934" s="222"/>
      <c r="AL934" s="222"/>
      <c r="AM934" s="222"/>
      <c r="AN934" s="222"/>
      <c r="AO934" s="222"/>
      <c r="AP934" s="222"/>
      <c r="AQ934" s="222"/>
      <c r="AR934" s="222"/>
      <c r="AS934" s="222"/>
      <c r="AT934" s="222"/>
      <c r="AU934" s="222"/>
      <c r="AV934" s="222"/>
      <c r="AW934" s="222"/>
      <c r="AX934" s="222"/>
    </row>
    <row r="935" spans="1:50" ht="15.75" customHeight="1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  <c r="AE935" s="222"/>
      <c r="AF935" s="222"/>
      <c r="AG935" s="222"/>
      <c r="AH935" s="222"/>
      <c r="AI935" s="222"/>
      <c r="AJ935" s="222"/>
      <c r="AK935" s="222"/>
      <c r="AL935" s="222"/>
      <c r="AM935" s="222"/>
      <c r="AN935" s="222"/>
      <c r="AO935" s="222"/>
      <c r="AP935" s="222"/>
      <c r="AQ935" s="222"/>
      <c r="AR935" s="222"/>
      <c r="AS935" s="222"/>
      <c r="AT935" s="222"/>
      <c r="AU935" s="222"/>
      <c r="AV935" s="222"/>
      <c r="AW935" s="222"/>
      <c r="AX935" s="222"/>
    </row>
    <row r="936" spans="1:50" ht="15.75" customHeight="1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  <c r="AC936" s="222"/>
      <c r="AD936" s="222"/>
      <c r="AE936" s="222"/>
      <c r="AF936" s="222"/>
      <c r="AG936" s="222"/>
      <c r="AH936" s="222"/>
      <c r="AI936" s="222"/>
      <c r="AJ936" s="222"/>
      <c r="AK936" s="222"/>
      <c r="AL936" s="222"/>
      <c r="AM936" s="222"/>
      <c r="AN936" s="222"/>
      <c r="AO936" s="222"/>
      <c r="AP936" s="222"/>
      <c r="AQ936" s="222"/>
      <c r="AR936" s="222"/>
      <c r="AS936" s="222"/>
      <c r="AT936" s="222"/>
      <c r="AU936" s="222"/>
      <c r="AV936" s="222"/>
      <c r="AW936" s="222"/>
      <c r="AX936" s="222"/>
    </row>
    <row r="937" spans="1:50" ht="15.75" customHeight="1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  <c r="AC937" s="222"/>
      <c r="AD937" s="222"/>
      <c r="AE937" s="222"/>
      <c r="AF937" s="222"/>
      <c r="AG937" s="222"/>
      <c r="AH937" s="222"/>
      <c r="AI937" s="222"/>
      <c r="AJ937" s="222"/>
      <c r="AK937" s="222"/>
      <c r="AL937" s="222"/>
      <c r="AM937" s="222"/>
      <c r="AN937" s="222"/>
      <c r="AO937" s="222"/>
      <c r="AP937" s="222"/>
      <c r="AQ937" s="222"/>
      <c r="AR937" s="222"/>
      <c r="AS937" s="222"/>
      <c r="AT937" s="222"/>
      <c r="AU937" s="222"/>
      <c r="AV937" s="222"/>
      <c r="AW937" s="222"/>
      <c r="AX937" s="222"/>
    </row>
    <row r="938" spans="1:50" ht="15.75" customHeight="1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  <c r="AC938" s="222"/>
      <c r="AD938" s="222"/>
      <c r="AE938" s="222"/>
      <c r="AF938" s="222"/>
      <c r="AG938" s="222"/>
      <c r="AH938" s="222"/>
      <c r="AI938" s="222"/>
      <c r="AJ938" s="222"/>
      <c r="AK938" s="222"/>
      <c r="AL938" s="222"/>
      <c r="AM938" s="222"/>
      <c r="AN938" s="222"/>
      <c r="AO938" s="222"/>
      <c r="AP938" s="222"/>
      <c r="AQ938" s="222"/>
      <c r="AR938" s="222"/>
      <c r="AS938" s="222"/>
      <c r="AT938" s="222"/>
      <c r="AU938" s="222"/>
      <c r="AV938" s="222"/>
      <c r="AW938" s="222"/>
      <c r="AX938" s="222"/>
    </row>
    <row r="939" spans="1:50" ht="15.75" customHeight="1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  <c r="AC939" s="222"/>
      <c r="AD939" s="222"/>
      <c r="AE939" s="222"/>
      <c r="AF939" s="222"/>
      <c r="AG939" s="222"/>
      <c r="AH939" s="222"/>
      <c r="AI939" s="222"/>
      <c r="AJ939" s="222"/>
      <c r="AK939" s="222"/>
      <c r="AL939" s="222"/>
      <c r="AM939" s="222"/>
      <c r="AN939" s="222"/>
      <c r="AO939" s="222"/>
      <c r="AP939" s="222"/>
      <c r="AQ939" s="222"/>
      <c r="AR939" s="222"/>
      <c r="AS939" s="222"/>
      <c r="AT939" s="222"/>
      <c r="AU939" s="222"/>
      <c r="AV939" s="222"/>
      <c r="AW939" s="222"/>
      <c r="AX939" s="222"/>
    </row>
    <row r="940" spans="1:50" ht="15.75" customHeight="1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  <c r="AC940" s="222"/>
      <c r="AD940" s="222"/>
      <c r="AE940" s="222"/>
      <c r="AF940" s="222"/>
      <c r="AG940" s="222"/>
      <c r="AH940" s="222"/>
      <c r="AI940" s="222"/>
      <c r="AJ940" s="222"/>
      <c r="AK940" s="222"/>
      <c r="AL940" s="222"/>
      <c r="AM940" s="222"/>
      <c r="AN940" s="222"/>
      <c r="AO940" s="222"/>
      <c r="AP940" s="222"/>
      <c r="AQ940" s="222"/>
      <c r="AR940" s="222"/>
      <c r="AS940" s="222"/>
      <c r="AT940" s="222"/>
      <c r="AU940" s="222"/>
      <c r="AV940" s="222"/>
      <c r="AW940" s="222"/>
      <c r="AX940" s="222"/>
    </row>
    <row r="941" spans="1:50" ht="15.75" customHeight="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  <c r="AC941" s="222"/>
      <c r="AD941" s="222"/>
      <c r="AE941" s="222"/>
      <c r="AF941" s="222"/>
      <c r="AG941" s="222"/>
      <c r="AH941" s="222"/>
      <c r="AI941" s="222"/>
      <c r="AJ941" s="222"/>
      <c r="AK941" s="222"/>
      <c r="AL941" s="222"/>
      <c r="AM941" s="222"/>
      <c r="AN941" s="222"/>
      <c r="AO941" s="222"/>
      <c r="AP941" s="222"/>
      <c r="AQ941" s="222"/>
      <c r="AR941" s="222"/>
      <c r="AS941" s="222"/>
      <c r="AT941" s="222"/>
      <c r="AU941" s="222"/>
      <c r="AV941" s="222"/>
      <c r="AW941" s="222"/>
      <c r="AX941" s="222"/>
    </row>
    <row r="942" spans="1:50" ht="15.75" customHeight="1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  <c r="AC942" s="222"/>
      <c r="AD942" s="222"/>
      <c r="AE942" s="222"/>
      <c r="AF942" s="222"/>
      <c r="AG942" s="222"/>
      <c r="AH942" s="222"/>
      <c r="AI942" s="222"/>
      <c r="AJ942" s="222"/>
      <c r="AK942" s="222"/>
      <c r="AL942" s="222"/>
      <c r="AM942" s="222"/>
      <c r="AN942" s="222"/>
      <c r="AO942" s="222"/>
      <c r="AP942" s="222"/>
      <c r="AQ942" s="222"/>
      <c r="AR942" s="222"/>
      <c r="AS942" s="222"/>
      <c r="AT942" s="222"/>
      <c r="AU942" s="222"/>
      <c r="AV942" s="222"/>
      <c r="AW942" s="222"/>
      <c r="AX942" s="222"/>
    </row>
    <row r="943" spans="1:50" ht="15.75" customHeight="1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  <c r="AC943" s="222"/>
      <c r="AD943" s="222"/>
      <c r="AE943" s="222"/>
      <c r="AF943" s="222"/>
      <c r="AG943" s="222"/>
      <c r="AH943" s="222"/>
      <c r="AI943" s="222"/>
      <c r="AJ943" s="222"/>
      <c r="AK943" s="222"/>
      <c r="AL943" s="222"/>
      <c r="AM943" s="222"/>
      <c r="AN943" s="222"/>
      <c r="AO943" s="222"/>
      <c r="AP943" s="222"/>
      <c r="AQ943" s="222"/>
      <c r="AR943" s="222"/>
      <c r="AS943" s="222"/>
      <c r="AT943" s="222"/>
      <c r="AU943" s="222"/>
      <c r="AV943" s="222"/>
      <c r="AW943" s="222"/>
      <c r="AX943" s="222"/>
    </row>
    <row r="944" spans="1:50" ht="15.75" customHeight="1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  <c r="AC944" s="222"/>
      <c r="AD944" s="222"/>
      <c r="AE944" s="222"/>
      <c r="AF944" s="222"/>
      <c r="AG944" s="222"/>
      <c r="AH944" s="222"/>
      <c r="AI944" s="222"/>
      <c r="AJ944" s="222"/>
      <c r="AK944" s="222"/>
      <c r="AL944" s="222"/>
      <c r="AM944" s="222"/>
      <c r="AN944" s="222"/>
      <c r="AO944" s="222"/>
      <c r="AP944" s="222"/>
      <c r="AQ944" s="222"/>
      <c r="AR944" s="222"/>
      <c r="AS944" s="222"/>
      <c r="AT944" s="222"/>
      <c r="AU944" s="222"/>
      <c r="AV944" s="222"/>
      <c r="AW944" s="222"/>
      <c r="AX944" s="222"/>
    </row>
    <row r="945" spans="1:50" ht="15.75" customHeight="1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  <c r="AC945" s="222"/>
      <c r="AD945" s="222"/>
      <c r="AE945" s="222"/>
      <c r="AF945" s="222"/>
      <c r="AG945" s="222"/>
      <c r="AH945" s="222"/>
      <c r="AI945" s="222"/>
      <c r="AJ945" s="222"/>
      <c r="AK945" s="222"/>
      <c r="AL945" s="222"/>
      <c r="AM945" s="222"/>
      <c r="AN945" s="222"/>
      <c r="AO945" s="222"/>
      <c r="AP945" s="222"/>
      <c r="AQ945" s="222"/>
      <c r="AR945" s="222"/>
      <c r="AS945" s="222"/>
      <c r="AT945" s="222"/>
      <c r="AU945" s="222"/>
      <c r="AV945" s="222"/>
      <c r="AW945" s="222"/>
      <c r="AX945" s="222"/>
    </row>
    <row r="946" spans="1:50" ht="15.75" customHeight="1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  <c r="AC946" s="222"/>
      <c r="AD946" s="222"/>
      <c r="AE946" s="222"/>
      <c r="AF946" s="222"/>
      <c r="AG946" s="222"/>
      <c r="AH946" s="222"/>
      <c r="AI946" s="222"/>
      <c r="AJ946" s="222"/>
      <c r="AK946" s="222"/>
      <c r="AL946" s="222"/>
      <c r="AM946" s="222"/>
      <c r="AN946" s="222"/>
      <c r="AO946" s="222"/>
      <c r="AP946" s="222"/>
      <c r="AQ946" s="222"/>
      <c r="AR946" s="222"/>
      <c r="AS946" s="222"/>
      <c r="AT946" s="222"/>
      <c r="AU946" s="222"/>
      <c r="AV946" s="222"/>
      <c r="AW946" s="222"/>
      <c r="AX946" s="222"/>
    </row>
    <row r="947" spans="1:50" ht="15.75" customHeight="1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  <c r="AC947" s="222"/>
      <c r="AD947" s="222"/>
      <c r="AE947" s="222"/>
      <c r="AF947" s="222"/>
      <c r="AG947" s="222"/>
      <c r="AH947" s="222"/>
      <c r="AI947" s="222"/>
      <c r="AJ947" s="222"/>
      <c r="AK947" s="222"/>
      <c r="AL947" s="222"/>
      <c r="AM947" s="222"/>
      <c r="AN947" s="222"/>
      <c r="AO947" s="222"/>
      <c r="AP947" s="222"/>
      <c r="AQ947" s="222"/>
      <c r="AR947" s="222"/>
      <c r="AS947" s="222"/>
      <c r="AT947" s="222"/>
      <c r="AU947" s="222"/>
      <c r="AV947" s="222"/>
      <c r="AW947" s="222"/>
      <c r="AX947" s="222"/>
    </row>
    <row r="948" spans="1:50" ht="15.75" customHeight="1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  <c r="AC948" s="222"/>
      <c r="AD948" s="222"/>
      <c r="AE948" s="222"/>
      <c r="AF948" s="222"/>
      <c r="AG948" s="222"/>
      <c r="AH948" s="222"/>
      <c r="AI948" s="222"/>
      <c r="AJ948" s="222"/>
      <c r="AK948" s="222"/>
      <c r="AL948" s="222"/>
      <c r="AM948" s="222"/>
      <c r="AN948" s="222"/>
      <c r="AO948" s="222"/>
      <c r="AP948" s="222"/>
      <c r="AQ948" s="222"/>
      <c r="AR948" s="222"/>
      <c r="AS948" s="222"/>
      <c r="AT948" s="222"/>
      <c r="AU948" s="222"/>
      <c r="AV948" s="222"/>
      <c r="AW948" s="222"/>
      <c r="AX948" s="222"/>
    </row>
    <row r="949" spans="1:50" ht="15.75" customHeight="1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  <c r="AC949" s="222"/>
      <c r="AD949" s="222"/>
      <c r="AE949" s="222"/>
      <c r="AF949" s="222"/>
      <c r="AG949" s="222"/>
      <c r="AH949" s="222"/>
      <c r="AI949" s="222"/>
      <c r="AJ949" s="222"/>
      <c r="AK949" s="222"/>
      <c r="AL949" s="222"/>
      <c r="AM949" s="222"/>
      <c r="AN949" s="222"/>
      <c r="AO949" s="222"/>
      <c r="AP949" s="222"/>
      <c r="AQ949" s="222"/>
      <c r="AR949" s="222"/>
      <c r="AS949" s="222"/>
      <c r="AT949" s="222"/>
      <c r="AU949" s="222"/>
      <c r="AV949" s="222"/>
      <c r="AW949" s="222"/>
      <c r="AX949" s="222"/>
    </row>
    <row r="950" spans="1:50" ht="15.75" customHeight="1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  <c r="AC950" s="222"/>
      <c r="AD950" s="222"/>
      <c r="AE950" s="222"/>
      <c r="AF950" s="222"/>
      <c r="AG950" s="222"/>
      <c r="AH950" s="222"/>
      <c r="AI950" s="222"/>
      <c r="AJ950" s="222"/>
      <c r="AK950" s="222"/>
      <c r="AL950" s="222"/>
      <c r="AM950" s="222"/>
      <c r="AN950" s="222"/>
      <c r="AO950" s="222"/>
      <c r="AP950" s="222"/>
      <c r="AQ950" s="222"/>
      <c r="AR950" s="222"/>
      <c r="AS950" s="222"/>
      <c r="AT950" s="222"/>
      <c r="AU950" s="222"/>
      <c r="AV950" s="222"/>
      <c r="AW950" s="222"/>
      <c r="AX950" s="222"/>
    </row>
    <row r="951" spans="1:50" ht="15.75" customHeight="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  <c r="AC951" s="222"/>
      <c r="AD951" s="222"/>
      <c r="AE951" s="222"/>
      <c r="AF951" s="222"/>
      <c r="AG951" s="222"/>
      <c r="AH951" s="222"/>
      <c r="AI951" s="222"/>
      <c r="AJ951" s="222"/>
      <c r="AK951" s="222"/>
      <c r="AL951" s="222"/>
      <c r="AM951" s="222"/>
      <c r="AN951" s="222"/>
      <c r="AO951" s="222"/>
      <c r="AP951" s="222"/>
      <c r="AQ951" s="222"/>
      <c r="AR951" s="222"/>
      <c r="AS951" s="222"/>
      <c r="AT951" s="222"/>
      <c r="AU951" s="222"/>
      <c r="AV951" s="222"/>
      <c r="AW951" s="222"/>
      <c r="AX951" s="222"/>
    </row>
    <row r="952" spans="1:50" ht="15.75" customHeight="1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  <c r="AC952" s="222"/>
      <c r="AD952" s="222"/>
      <c r="AE952" s="222"/>
      <c r="AF952" s="222"/>
      <c r="AG952" s="222"/>
      <c r="AH952" s="222"/>
      <c r="AI952" s="222"/>
      <c r="AJ952" s="222"/>
      <c r="AK952" s="222"/>
      <c r="AL952" s="222"/>
      <c r="AM952" s="222"/>
      <c r="AN952" s="222"/>
      <c r="AO952" s="222"/>
      <c r="AP952" s="222"/>
      <c r="AQ952" s="222"/>
      <c r="AR952" s="222"/>
      <c r="AS952" s="222"/>
      <c r="AT952" s="222"/>
      <c r="AU952" s="222"/>
      <c r="AV952" s="222"/>
      <c r="AW952" s="222"/>
      <c r="AX952" s="222"/>
    </row>
    <row r="953" spans="1:50" ht="15.75" customHeight="1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  <c r="AC953" s="222"/>
      <c r="AD953" s="222"/>
      <c r="AE953" s="222"/>
      <c r="AF953" s="222"/>
      <c r="AG953" s="222"/>
      <c r="AH953" s="222"/>
      <c r="AI953" s="222"/>
      <c r="AJ953" s="222"/>
      <c r="AK953" s="222"/>
      <c r="AL953" s="222"/>
      <c r="AM953" s="222"/>
      <c r="AN953" s="222"/>
      <c r="AO953" s="222"/>
      <c r="AP953" s="222"/>
      <c r="AQ953" s="222"/>
      <c r="AR953" s="222"/>
      <c r="AS953" s="222"/>
      <c r="AT953" s="222"/>
      <c r="AU953" s="222"/>
      <c r="AV953" s="222"/>
      <c r="AW953" s="222"/>
      <c r="AX953" s="222"/>
    </row>
    <row r="954" spans="1:50" ht="15.75" customHeight="1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2"/>
      <c r="AE954" s="222"/>
      <c r="AF954" s="222"/>
      <c r="AG954" s="222"/>
      <c r="AH954" s="222"/>
      <c r="AI954" s="222"/>
      <c r="AJ954" s="222"/>
      <c r="AK954" s="222"/>
      <c r="AL954" s="222"/>
      <c r="AM954" s="222"/>
      <c r="AN954" s="222"/>
      <c r="AO954" s="222"/>
      <c r="AP954" s="222"/>
      <c r="AQ954" s="222"/>
      <c r="AR954" s="222"/>
      <c r="AS954" s="222"/>
      <c r="AT954" s="222"/>
      <c r="AU954" s="222"/>
      <c r="AV954" s="222"/>
      <c r="AW954" s="222"/>
      <c r="AX954" s="222"/>
    </row>
    <row r="955" spans="1:50" ht="15.75" customHeight="1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  <c r="AC955" s="222"/>
      <c r="AD955" s="222"/>
      <c r="AE955" s="222"/>
      <c r="AF955" s="222"/>
      <c r="AG955" s="222"/>
      <c r="AH955" s="222"/>
      <c r="AI955" s="222"/>
      <c r="AJ955" s="222"/>
      <c r="AK955" s="222"/>
      <c r="AL955" s="222"/>
      <c r="AM955" s="222"/>
      <c r="AN955" s="222"/>
      <c r="AO955" s="222"/>
      <c r="AP955" s="222"/>
      <c r="AQ955" s="222"/>
      <c r="AR955" s="222"/>
      <c r="AS955" s="222"/>
      <c r="AT955" s="222"/>
      <c r="AU955" s="222"/>
      <c r="AV955" s="222"/>
      <c r="AW955" s="222"/>
      <c r="AX955" s="222"/>
    </row>
    <row r="956" spans="1:50" ht="15.75" customHeight="1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  <c r="AC956" s="222"/>
      <c r="AD956" s="222"/>
      <c r="AE956" s="222"/>
      <c r="AF956" s="222"/>
      <c r="AG956" s="222"/>
      <c r="AH956" s="222"/>
      <c r="AI956" s="222"/>
      <c r="AJ956" s="222"/>
      <c r="AK956" s="222"/>
      <c r="AL956" s="222"/>
      <c r="AM956" s="222"/>
      <c r="AN956" s="222"/>
      <c r="AO956" s="222"/>
      <c r="AP956" s="222"/>
      <c r="AQ956" s="222"/>
      <c r="AR956" s="222"/>
      <c r="AS956" s="222"/>
      <c r="AT956" s="222"/>
      <c r="AU956" s="222"/>
      <c r="AV956" s="222"/>
      <c r="AW956" s="222"/>
      <c r="AX956" s="222"/>
    </row>
    <row r="957" spans="1:50" ht="15.75" customHeight="1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  <c r="AC957" s="222"/>
      <c r="AD957" s="222"/>
      <c r="AE957" s="222"/>
      <c r="AF957" s="222"/>
      <c r="AG957" s="222"/>
      <c r="AH957" s="222"/>
      <c r="AI957" s="222"/>
      <c r="AJ957" s="222"/>
      <c r="AK957" s="222"/>
      <c r="AL957" s="222"/>
      <c r="AM957" s="222"/>
      <c r="AN957" s="222"/>
      <c r="AO957" s="222"/>
      <c r="AP957" s="222"/>
      <c r="AQ957" s="222"/>
      <c r="AR957" s="222"/>
      <c r="AS957" s="222"/>
      <c r="AT957" s="222"/>
      <c r="AU957" s="222"/>
      <c r="AV957" s="222"/>
      <c r="AW957" s="222"/>
      <c r="AX957" s="222"/>
    </row>
    <row r="958" spans="1:50" ht="15.75" customHeight="1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  <c r="AF958" s="222"/>
      <c r="AG958" s="222"/>
      <c r="AH958" s="222"/>
      <c r="AI958" s="222"/>
      <c r="AJ958" s="222"/>
      <c r="AK958" s="222"/>
      <c r="AL958" s="222"/>
      <c r="AM958" s="222"/>
      <c r="AN958" s="222"/>
      <c r="AO958" s="222"/>
      <c r="AP958" s="222"/>
      <c r="AQ958" s="222"/>
      <c r="AR958" s="222"/>
      <c r="AS958" s="222"/>
      <c r="AT958" s="222"/>
      <c r="AU958" s="222"/>
      <c r="AV958" s="222"/>
      <c r="AW958" s="222"/>
      <c r="AX958" s="222"/>
    </row>
    <row r="959" spans="1:50" ht="15.75" customHeight="1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  <c r="AC959" s="222"/>
      <c r="AD959" s="222"/>
      <c r="AE959" s="222"/>
      <c r="AF959" s="222"/>
      <c r="AG959" s="222"/>
      <c r="AH959" s="222"/>
      <c r="AI959" s="222"/>
      <c r="AJ959" s="222"/>
      <c r="AK959" s="222"/>
      <c r="AL959" s="222"/>
      <c r="AM959" s="222"/>
      <c r="AN959" s="222"/>
      <c r="AO959" s="222"/>
      <c r="AP959" s="222"/>
      <c r="AQ959" s="222"/>
      <c r="AR959" s="222"/>
      <c r="AS959" s="222"/>
      <c r="AT959" s="222"/>
      <c r="AU959" s="222"/>
      <c r="AV959" s="222"/>
      <c r="AW959" s="222"/>
      <c r="AX959" s="222"/>
    </row>
    <row r="960" spans="1:50" ht="15.75" customHeight="1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  <c r="AE960" s="222"/>
      <c r="AF960" s="222"/>
      <c r="AG960" s="222"/>
      <c r="AH960" s="222"/>
      <c r="AI960" s="222"/>
      <c r="AJ960" s="222"/>
      <c r="AK960" s="222"/>
      <c r="AL960" s="222"/>
      <c r="AM960" s="222"/>
      <c r="AN960" s="222"/>
      <c r="AO960" s="222"/>
      <c r="AP960" s="222"/>
      <c r="AQ960" s="222"/>
      <c r="AR960" s="222"/>
      <c r="AS960" s="222"/>
      <c r="AT960" s="222"/>
      <c r="AU960" s="222"/>
      <c r="AV960" s="222"/>
      <c r="AW960" s="222"/>
      <c r="AX960" s="222"/>
    </row>
    <row r="961" spans="1:50" ht="15.75" customHeight="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  <c r="AE961" s="222"/>
      <c r="AF961" s="222"/>
      <c r="AG961" s="222"/>
      <c r="AH961" s="222"/>
      <c r="AI961" s="222"/>
      <c r="AJ961" s="222"/>
      <c r="AK961" s="222"/>
      <c r="AL961" s="222"/>
      <c r="AM961" s="222"/>
      <c r="AN961" s="222"/>
      <c r="AO961" s="222"/>
      <c r="AP961" s="222"/>
      <c r="AQ961" s="222"/>
      <c r="AR961" s="222"/>
      <c r="AS961" s="222"/>
      <c r="AT961" s="222"/>
      <c r="AU961" s="222"/>
      <c r="AV961" s="222"/>
      <c r="AW961" s="222"/>
      <c r="AX961" s="222"/>
    </row>
    <row r="962" spans="1:50" ht="15.75" customHeight="1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  <c r="AC962" s="222"/>
      <c r="AD962" s="222"/>
      <c r="AE962" s="222"/>
      <c r="AF962" s="222"/>
      <c r="AG962" s="222"/>
      <c r="AH962" s="222"/>
      <c r="AI962" s="222"/>
      <c r="AJ962" s="222"/>
      <c r="AK962" s="222"/>
      <c r="AL962" s="222"/>
      <c r="AM962" s="222"/>
      <c r="AN962" s="222"/>
      <c r="AO962" s="222"/>
      <c r="AP962" s="222"/>
      <c r="AQ962" s="222"/>
      <c r="AR962" s="222"/>
      <c r="AS962" s="222"/>
      <c r="AT962" s="222"/>
      <c r="AU962" s="222"/>
      <c r="AV962" s="222"/>
      <c r="AW962" s="222"/>
      <c r="AX962" s="222"/>
    </row>
    <row r="963" spans="1:50" ht="15.75" customHeight="1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  <c r="AC963" s="222"/>
      <c r="AD963" s="222"/>
      <c r="AE963" s="222"/>
      <c r="AF963" s="222"/>
      <c r="AG963" s="222"/>
      <c r="AH963" s="222"/>
      <c r="AI963" s="222"/>
      <c r="AJ963" s="222"/>
      <c r="AK963" s="222"/>
      <c r="AL963" s="222"/>
      <c r="AM963" s="222"/>
      <c r="AN963" s="222"/>
      <c r="AO963" s="222"/>
      <c r="AP963" s="222"/>
      <c r="AQ963" s="222"/>
      <c r="AR963" s="222"/>
      <c r="AS963" s="222"/>
      <c r="AT963" s="222"/>
      <c r="AU963" s="222"/>
      <c r="AV963" s="222"/>
      <c r="AW963" s="222"/>
      <c r="AX963" s="222"/>
    </row>
    <row r="964" spans="1:50" ht="15.75" customHeight="1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  <c r="AC964" s="222"/>
      <c r="AD964" s="222"/>
      <c r="AE964" s="222"/>
      <c r="AF964" s="222"/>
      <c r="AG964" s="222"/>
      <c r="AH964" s="222"/>
      <c r="AI964" s="222"/>
      <c r="AJ964" s="222"/>
      <c r="AK964" s="222"/>
      <c r="AL964" s="222"/>
      <c r="AM964" s="222"/>
      <c r="AN964" s="222"/>
      <c r="AO964" s="222"/>
      <c r="AP964" s="222"/>
      <c r="AQ964" s="222"/>
      <c r="AR964" s="222"/>
      <c r="AS964" s="222"/>
      <c r="AT964" s="222"/>
      <c r="AU964" s="222"/>
      <c r="AV964" s="222"/>
      <c r="AW964" s="222"/>
      <c r="AX964" s="222"/>
    </row>
    <row r="965" spans="1:50" ht="15.75" customHeight="1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  <c r="AC965" s="222"/>
      <c r="AD965" s="222"/>
      <c r="AE965" s="222"/>
      <c r="AF965" s="222"/>
      <c r="AG965" s="222"/>
      <c r="AH965" s="222"/>
      <c r="AI965" s="222"/>
      <c r="AJ965" s="222"/>
      <c r="AK965" s="222"/>
      <c r="AL965" s="222"/>
      <c r="AM965" s="222"/>
      <c r="AN965" s="222"/>
      <c r="AO965" s="222"/>
      <c r="AP965" s="222"/>
      <c r="AQ965" s="222"/>
      <c r="AR965" s="222"/>
      <c r="AS965" s="222"/>
      <c r="AT965" s="222"/>
      <c r="AU965" s="222"/>
      <c r="AV965" s="222"/>
      <c r="AW965" s="222"/>
      <c r="AX965" s="222"/>
    </row>
    <row r="966" spans="1:50" ht="15.75" customHeight="1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  <c r="AC966" s="222"/>
      <c r="AD966" s="222"/>
      <c r="AE966" s="222"/>
      <c r="AF966" s="222"/>
      <c r="AG966" s="222"/>
      <c r="AH966" s="222"/>
      <c r="AI966" s="222"/>
      <c r="AJ966" s="222"/>
      <c r="AK966" s="222"/>
      <c r="AL966" s="222"/>
      <c r="AM966" s="222"/>
      <c r="AN966" s="222"/>
      <c r="AO966" s="222"/>
      <c r="AP966" s="222"/>
      <c r="AQ966" s="222"/>
      <c r="AR966" s="222"/>
      <c r="AS966" s="222"/>
      <c r="AT966" s="222"/>
      <c r="AU966" s="222"/>
      <c r="AV966" s="222"/>
      <c r="AW966" s="222"/>
      <c r="AX966" s="222"/>
    </row>
    <row r="967" spans="1:50" ht="15.75" customHeight="1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  <c r="AC967" s="222"/>
      <c r="AD967" s="222"/>
      <c r="AE967" s="222"/>
      <c r="AF967" s="222"/>
      <c r="AG967" s="222"/>
      <c r="AH967" s="222"/>
      <c r="AI967" s="222"/>
      <c r="AJ967" s="222"/>
      <c r="AK967" s="222"/>
      <c r="AL967" s="222"/>
      <c r="AM967" s="222"/>
      <c r="AN967" s="222"/>
      <c r="AO967" s="222"/>
      <c r="AP967" s="222"/>
      <c r="AQ967" s="222"/>
      <c r="AR967" s="222"/>
      <c r="AS967" s="222"/>
      <c r="AT967" s="222"/>
      <c r="AU967" s="222"/>
      <c r="AV967" s="222"/>
      <c r="AW967" s="222"/>
      <c r="AX967" s="222"/>
    </row>
    <row r="968" spans="1:50" ht="15.75" customHeight="1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  <c r="AC968" s="222"/>
      <c r="AD968" s="222"/>
      <c r="AE968" s="222"/>
      <c r="AF968" s="222"/>
      <c r="AG968" s="222"/>
      <c r="AH968" s="222"/>
      <c r="AI968" s="222"/>
      <c r="AJ968" s="222"/>
      <c r="AK968" s="222"/>
      <c r="AL968" s="222"/>
      <c r="AM968" s="222"/>
      <c r="AN968" s="222"/>
      <c r="AO968" s="222"/>
      <c r="AP968" s="222"/>
      <c r="AQ968" s="222"/>
      <c r="AR968" s="222"/>
      <c r="AS968" s="222"/>
      <c r="AT968" s="222"/>
      <c r="AU968" s="222"/>
      <c r="AV968" s="222"/>
      <c r="AW968" s="222"/>
      <c r="AX968" s="222"/>
    </row>
    <row r="969" spans="1:50" ht="15.75" customHeight="1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  <c r="AC969" s="222"/>
      <c r="AD969" s="222"/>
      <c r="AE969" s="222"/>
      <c r="AF969" s="222"/>
      <c r="AG969" s="222"/>
      <c r="AH969" s="222"/>
      <c r="AI969" s="222"/>
      <c r="AJ969" s="222"/>
      <c r="AK969" s="222"/>
      <c r="AL969" s="222"/>
      <c r="AM969" s="222"/>
      <c r="AN969" s="222"/>
      <c r="AO969" s="222"/>
      <c r="AP969" s="222"/>
      <c r="AQ969" s="222"/>
      <c r="AR969" s="222"/>
      <c r="AS969" s="222"/>
      <c r="AT969" s="222"/>
      <c r="AU969" s="222"/>
      <c r="AV969" s="222"/>
      <c r="AW969" s="222"/>
      <c r="AX969" s="222"/>
    </row>
    <row r="970" spans="1:50" ht="15.75" customHeight="1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  <c r="AC970" s="222"/>
      <c r="AD970" s="222"/>
      <c r="AE970" s="222"/>
      <c r="AF970" s="222"/>
      <c r="AG970" s="222"/>
      <c r="AH970" s="222"/>
      <c r="AI970" s="222"/>
      <c r="AJ970" s="222"/>
      <c r="AK970" s="222"/>
      <c r="AL970" s="222"/>
      <c r="AM970" s="222"/>
      <c r="AN970" s="222"/>
      <c r="AO970" s="222"/>
      <c r="AP970" s="222"/>
      <c r="AQ970" s="222"/>
      <c r="AR970" s="222"/>
      <c r="AS970" s="222"/>
      <c r="AT970" s="222"/>
      <c r="AU970" s="222"/>
      <c r="AV970" s="222"/>
      <c r="AW970" s="222"/>
      <c r="AX970" s="222"/>
    </row>
    <row r="971" spans="1:50" ht="15.75" customHeight="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  <c r="AC971" s="222"/>
      <c r="AD971" s="222"/>
      <c r="AE971" s="222"/>
      <c r="AF971" s="222"/>
      <c r="AG971" s="222"/>
      <c r="AH971" s="222"/>
      <c r="AI971" s="222"/>
      <c r="AJ971" s="222"/>
      <c r="AK971" s="222"/>
      <c r="AL971" s="222"/>
      <c r="AM971" s="222"/>
      <c r="AN971" s="222"/>
      <c r="AO971" s="222"/>
      <c r="AP971" s="222"/>
      <c r="AQ971" s="222"/>
      <c r="AR971" s="222"/>
      <c r="AS971" s="222"/>
      <c r="AT971" s="222"/>
      <c r="AU971" s="222"/>
      <c r="AV971" s="222"/>
      <c r="AW971" s="222"/>
      <c r="AX971" s="222"/>
    </row>
    <row r="972" spans="1:50" ht="15.75" customHeight="1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  <c r="AC972" s="222"/>
      <c r="AD972" s="222"/>
      <c r="AE972" s="222"/>
      <c r="AF972" s="222"/>
      <c r="AG972" s="222"/>
      <c r="AH972" s="222"/>
      <c r="AI972" s="222"/>
      <c r="AJ972" s="222"/>
      <c r="AK972" s="222"/>
      <c r="AL972" s="222"/>
      <c r="AM972" s="222"/>
      <c r="AN972" s="222"/>
      <c r="AO972" s="222"/>
      <c r="AP972" s="222"/>
      <c r="AQ972" s="222"/>
      <c r="AR972" s="222"/>
      <c r="AS972" s="222"/>
      <c r="AT972" s="222"/>
      <c r="AU972" s="222"/>
      <c r="AV972" s="222"/>
      <c r="AW972" s="222"/>
      <c r="AX972" s="222"/>
    </row>
    <row r="973" spans="1:50" ht="15.75" customHeight="1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  <c r="AC973" s="222"/>
      <c r="AD973" s="222"/>
      <c r="AE973" s="222"/>
      <c r="AF973" s="222"/>
      <c r="AG973" s="222"/>
      <c r="AH973" s="222"/>
      <c r="AI973" s="222"/>
      <c r="AJ973" s="222"/>
      <c r="AK973" s="222"/>
      <c r="AL973" s="222"/>
      <c r="AM973" s="222"/>
      <c r="AN973" s="222"/>
      <c r="AO973" s="222"/>
      <c r="AP973" s="222"/>
      <c r="AQ973" s="222"/>
      <c r="AR973" s="222"/>
      <c r="AS973" s="222"/>
      <c r="AT973" s="222"/>
      <c r="AU973" s="222"/>
      <c r="AV973" s="222"/>
      <c r="AW973" s="222"/>
      <c r="AX973" s="222"/>
    </row>
    <row r="974" spans="1:50" ht="15.75" customHeight="1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  <c r="AC974" s="222"/>
      <c r="AD974" s="222"/>
      <c r="AE974" s="222"/>
      <c r="AF974" s="222"/>
      <c r="AG974" s="222"/>
      <c r="AH974" s="222"/>
      <c r="AI974" s="222"/>
      <c r="AJ974" s="222"/>
      <c r="AK974" s="222"/>
      <c r="AL974" s="222"/>
      <c r="AM974" s="222"/>
      <c r="AN974" s="222"/>
      <c r="AO974" s="222"/>
      <c r="AP974" s="222"/>
      <c r="AQ974" s="222"/>
      <c r="AR974" s="222"/>
      <c r="AS974" s="222"/>
      <c r="AT974" s="222"/>
      <c r="AU974" s="222"/>
      <c r="AV974" s="222"/>
      <c r="AW974" s="222"/>
      <c r="AX974" s="222"/>
    </row>
    <row r="975" spans="1:50" ht="15.75" customHeight="1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  <c r="AC975" s="222"/>
      <c r="AD975" s="222"/>
      <c r="AE975" s="222"/>
      <c r="AF975" s="222"/>
      <c r="AG975" s="222"/>
      <c r="AH975" s="222"/>
      <c r="AI975" s="222"/>
      <c r="AJ975" s="222"/>
      <c r="AK975" s="222"/>
      <c r="AL975" s="222"/>
      <c r="AM975" s="222"/>
      <c r="AN975" s="222"/>
      <c r="AO975" s="222"/>
      <c r="AP975" s="222"/>
      <c r="AQ975" s="222"/>
      <c r="AR975" s="222"/>
      <c r="AS975" s="222"/>
      <c r="AT975" s="222"/>
      <c r="AU975" s="222"/>
      <c r="AV975" s="222"/>
      <c r="AW975" s="222"/>
      <c r="AX975" s="222"/>
    </row>
    <row r="976" spans="1:50" ht="15.75" customHeight="1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  <c r="AC976" s="222"/>
      <c r="AD976" s="222"/>
      <c r="AE976" s="222"/>
      <c r="AF976" s="222"/>
      <c r="AG976" s="222"/>
      <c r="AH976" s="222"/>
      <c r="AI976" s="222"/>
      <c r="AJ976" s="222"/>
      <c r="AK976" s="222"/>
      <c r="AL976" s="222"/>
      <c r="AM976" s="222"/>
      <c r="AN976" s="222"/>
      <c r="AO976" s="222"/>
      <c r="AP976" s="222"/>
      <c r="AQ976" s="222"/>
      <c r="AR976" s="222"/>
      <c r="AS976" s="222"/>
      <c r="AT976" s="222"/>
      <c r="AU976" s="222"/>
      <c r="AV976" s="222"/>
      <c r="AW976" s="222"/>
      <c r="AX976" s="222"/>
    </row>
    <row r="977" spans="1:50" ht="15.75" customHeight="1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  <c r="AC977" s="222"/>
      <c r="AD977" s="222"/>
      <c r="AE977" s="222"/>
      <c r="AF977" s="222"/>
      <c r="AG977" s="222"/>
      <c r="AH977" s="222"/>
      <c r="AI977" s="222"/>
      <c r="AJ977" s="222"/>
      <c r="AK977" s="222"/>
      <c r="AL977" s="222"/>
      <c r="AM977" s="222"/>
      <c r="AN977" s="222"/>
      <c r="AO977" s="222"/>
      <c r="AP977" s="222"/>
      <c r="AQ977" s="222"/>
      <c r="AR977" s="222"/>
      <c r="AS977" s="222"/>
      <c r="AT977" s="222"/>
      <c r="AU977" s="222"/>
      <c r="AV977" s="222"/>
      <c r="AW977" s="222"/>
      <c r="AX977" s="222"/>
    </row>
    <row r="978" spans="1:50" ht="15.75" customHeight="1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  <c r="AC978" s="222"/>
      <c r="AD978" s="222"/>
      <c r="AE978" s="222"/>
      <c r="AF978" s="222"/>
      <c r="AG978" s="222"/>
      <c r="AH978" s="222"/>
      <c r="AI978" s="222"/>
      <c r="AJ978" s="222"/>
      <c r="AK978" s="222"/>
      <c r="AL978" s="222"/>
      <c r="AM978" s="222"/>
      <c r="AN978" s="222"/>
      <c r="AO978" s="222"/>
      <c r="AP978" s="222"/>
      <c r="AQ978" s="222"/>
      <c r="AR978" s="222"/>
      <c r="AS978" s="222"/>
      <c r="AT978" s="222"/>
      <c r="AU978" s="222"/>
      <c r="AV978" s="222"/>
      <c r="AW978" s="222"/>
      <c r="AX978" s="222"/>
    </row>
    <row r="979" spans="1:50" ht="15.75" customHeight="1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  <c r="AC979" s="222"/>
      <c r="AD979" s="222"/>
      <c r="AE979" s="222"/>
      <c r="AF979" s="222"/>
      <c r="AG979" s="222"/>
      <c r="AH979" s="222"/>
      <c r="AI979" s="222"/>
      <c r="AJ979" s="222"/>
      <c r="AK979" s="222"/>
      <c r="AL979" s="222"/>
      <c r="AM979" s="222"/>
      <c r="AN979" s="222"/>
      <c r="AO979" s="222"/>
      <c r="AP979" s="222"/>
      <c r="AQ979" s="222"/>
      <c r="AR979" s="222"/>
      <c r="AS979" s="222"/>
      <c r="AT979" s="222"/>
      <c r="AU979" s="222"/>
      <c r="AV979" s="222"/>
      <c r="AW979" s="222"/>
      <c r="AX979" s="222"/>
    </row>
    <row r="980" spans="1:50" ht="15.75" customHeight="1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  <c r="AC980" s="222"/>
      <c r="AD980" s="222"/>
      <c r="AE980" s="222"/>
      <c r="AF980" s="222"/>
      <c r="AG980" s="222"/>
      <c r="AH980" s="222"/>
      <c r="AI980" s="222"/>
      <c r="AJ980" s="222"/>
      <c r="AK980" s="222"/>
      <c r="AL980" s="222"/>
      <c r="AM980" s="222"/>
      <c r="AN980" s="222"/>
      <c r="AO980" s="222"/>
      <c r="AP980" s="222"/>
      <c r="AQ980" s="222"/>
      <c r="AR980" s="222"/>
      <c r="AS980" s="222"/>
      <c r="AT980" s="222"/>
      <c r="AU980" s="222"/>
      <c r="AV980" s="222"/>
      <c r="AW980" s="222"/>
      <c r="AX980" s="222"/>
    </row>
    <row r="981" spans="1:50" ht="15.75" customHeight="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  <c r="AC981" s="222"/>
      <c r="AD981" s="222"/>
      <c r="AE981" s="222"/>
      <c r="AF981" s="222"/>
      <c r="AG981" s="222"/>
      <c r="AH981" s="222"/>
      <c r="AI981" s="222"/>
      <c r="AJ981" s="222"/>
      <c r="AK981" s="222"/>
      <c r="AL981" s="222"/>
      <c r="AM981" s="222"/>
      <c r="AN981" s="222"/>
      <c r="AO981" s="222"/>
      <c r="AP981" s="222"/>
      <c r="AQ981" s="222"/>
      <c r="AR981" s="222"/>
      <c r="AS981" s="222"/>
      <c r="AT981" s="222"/>
      <c r="AU981" s="222"/>
      <c r="AV981" s="222"/>
      <c r="AW981" s="222"/>
      <c r="AX981" s="222"/>
    </row>
    <row r="982" spans="1:50" ht="15.75" customHeight="1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  <c r="AC982" s="222"/>
      <c r="AD982" s="222"/>
      <c r="AE982" s="222"/>
      <c r="AF982" s="222"/>
      <c r="AG982" s="222"/>
      <c r="AH982" s="222"/>
      <c r="AI982" s="222"/>
      <c r="AJ982" s="222"/>
      <c r="AK982" s="222"/>
      <c r="AL982" s="222"/>
      <c r="AM982" s="222"/>
      <c r="AN982" s="222"/>
      <c r="AO982" s="222"/>
      <c r="AP982" s="222"/>
      <c r="AQ982" s="222"/>
      <c r="AR982" s="222"/>
      <c r="AS982" s="222"/>
      <c r="AT982" s="222"/>
      <c r="AU982" s="222"/>
      <c r="AV982" s="222"/>
      <c r="AW982" s="222"/>
      <c r="AX982" s="222"/>
    </row>
    <row r="983" spans="1:50" ht="15.75" customHeight="1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  <c r="AC983" s="222"/>
      <c r="AD983" s="222"/>
      <c r="AE983" s="222"/>
      <c r="AF983" s="222"/>
      <c r="AG983" s="222"/>
      <c r="AH983" s="222"/>
      <c r="AI983" s="222"/>
      <c r="AJ983" s="222"/>
      <c r="AK983" s="222"/>
      <c r="AL983" s="222"/>
      <c r="AM983" s="222"/>
      <c r="AN983" s="222"/>
      <c r="AO983" s="222"/>
      <c r="AP983" s="222"/>
      <c r="AQ983" s="222"/>
      <c r="AR983" s="222"/>
      <c r="AS983" s="222"/>
      <c r="AT983" s="222"/>
      <c r="AU983" s="222"/>
      <c r="AV983" s="222"/>
      <c r="AW983" s="222"/>
      <c r="AX983" s="222"/>
    </row>
    <row r="984" spans="1:50" ht="15.75" customHeight="1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  <c r="AC984" s="222"/>
      <c r="AD984" s="222"/>
      <c r="AE984" s="222"/>
      <c r="AF984" s="222"/>
      <c r="AG984" s="222"/>
      <c r="AH984" s="222"/>
      <c r="AI984" s="222"/>
      <c r="AJ984" s="222"/>
      <c r="AK984" s="222"/>
      <c r="AL984" s="222"/>
      <c r="AM984" s="222"/>
      <c r="AN984" s="222"/>
      <c r="AO984" s="222"/>
      <c r="AP984" s="222"/>
      <c r="AQ984" s="222"/>
      <c r="AR984" s="222"/>
      <c r="AS984" s="222"/>
      <c r="AT984" s="222"/>
      <c r="AU984" s="222"/>
      <c r="AV984" s="222"/>
      <c r="AW984" s="222"/>
      <c r="AX984" s="222"/>
    </row>
    <row r="985" spans="1:50" ht="15.75" customHeight="1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  <c r="AC985" s="222"/>
      <c r="AD985" s="222"/>
      <c r="AE985" s="222"/>
      <c r="AF985" s="222"/>
      <c r="AG985" s="222"/>
      <c r="AH985" s="222"/>
      <c r="AI985" s="222"/>
      <c r="AJ985" s="222"/>
      <c r="AK985" s="222"/>
      <c r="AL985" s="222"/>
      <c r="AM985" s="222"/>
      <c r="AN985" s="222"/>
      <c r="AO985" s="222"/>
      <c r="AP985" s="222"/>
      <c r="AQ985" s="222"/>
      <c r="AR985" s="222"/>
      <c r="AS985" s="222"/>
      <c r="AT985" s="222"/>
      <c r="AU985" s="222"/>
      <c r="AV985" s="222"/>
      <c r="AW985" s="222"/>
      <c r="AX985" s="222"/>
    </row>
    <row r="986" spans="1:50" ht="15.75" customHeight="1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  <c r="AC986" s="222"/>
      <c r="AD986" s="222"/>
      <c r="AE986" s="222"/>
      <c r="AF986" s="222"/>
      <c r="AG986" s="222"/>
      <c r="AH986" s="222"/>
      <c r="AI986" s="222"/>
      <c r="AJ986" s="222"/>
      <c r="AK986" s="222"/>
      <c r="AL986" s="222"/>
      <c r="AM986" s="222"/>
      <c r="AN986" s="222"/>
      <c r="AO986" s="222"/>
      <c r="AP986" s="222"/>
      <c r="AQ986" s="222"/>
      <c r="AR986" s="222"/>
      <c r="AS986" s="222"/>
      <c r="AT986" s="222"/>
      <c r="AU986" s="222"/>
      <c r="AV986" s="222"/>
      <c r="AW986" s="222"/>
      <c r="AX986" s="222"/>
    </row>
    <row r="987" spans="1:50" ht="15.75" customHeight="1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  <c r="AC987" s="222"/>
      <c r="AD987" s="222"/>
      <c r="AE987" s="222"/>
      <c r="AF987" s="222"/>
      <c r="AG987" s="222"/>
      <c r="AH987" s="222"/>
      <c r="AI987" s="222"/>
      <c r="AJ987" s="222"/>
      <c r="AK987" s="222"/>
      <c r="AL987" s="222"/>
      <c r="AM987" s="222"/>
      <c r="AN987" s="222"/>
      <c r="AO987" s="222"/>
      <c r="AP987" s="222"/>
      <c r="AQ987" s="222"/>
      <c r="AR987" s="222"/>
      <c r="AS987" s="222"/>
      <c r="AT987" s="222"/>
      <c r="AU987" s="222"/>
      <c r="AV987" s="222"/>
      <c r="AW987" s="222"/>
      <c r="AX987" s="222"/>
    </row>
    <row r="988" spans="1:50" ht="15.75" customHeight="1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  <c r="AC988" s="222"/>
      <c r="AD988" s="222"/>
      <c r="AE988" s="222"/>
      <c r="AF988" s="222"/>
      <c r="AG988" s="222"/>
      <c r="AH988" s="222"/>
      <c r="AI988" s="222"/>
      <c r="AJ988" s="222"/>
      <c r="AK988" s="222"/>
      <c r="AL988" s="222"/>
      <c r="AM988" s="222"/>
      <c r="AN988" s="222"/>
      <c r="AO988" s="222"/>
      <c r="AP988" s="222"/>
      <c r="AQ988" s="222"/>
      <c r="AR988" s="222"/>
      <c r="AS988" s="222"/>
      <c r="AT988" s="222"/>
      <c r="AU988" s="222"/>
      <c r="AV988" s="222"/>
      <c r="AW988" s="222"/>
      <c r="AX988" s="222"/>
    </row>
    <row r="989" spans="1:50" ht="15.75" customHeight="1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  <c r="AF989" s="222"/>
      <c r="AG989" s="222"/>
      <c r="AH989" s="222"/>
      <c r="AI989" s="222"/>
      <c r="AJ989" s="222"/>
      <c r="AK989" s="222"/>
      <c r="AL989" s="222"/>
      <c r="AM989" s="222"/>
      <c r="AN989" s="222"/>
      <c r="AO989" s="222"/>
      <c r="AP989" s="222"/>
      <c r="AQ989" s="222"/>
      <c r="AR989" s="222"/>
      <c r="AS989" s="222"/>
      <c r="AT989" s="222"/>
      <c r="AU989" s="222"/>
      <c r="AV989" s="222"/>
      <c r="AW989" s="222"/>
      <c r="AX989" s="222"/>
    </row>
    <row r="990" spans="1:50" ht="15.75" customHeight="1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  <c r="AC990" s="222"/>
      <c r="AD990" s="222"/>
      <c r="AE990" s="222"/>
      <c r="AF990" s="222"/>
      <c r="AG990" s="222"/>
      <c r="AH990" s="222"/>
      <c r="AI990" s="222"/>
      <c r="AJ990" s="222"/>
      <c r="AK990" s="222"/>
      <c r="AL990" s="222"/>
      <c r="AM990" s="222"/>
      <c r="AN990" s="222"/>
      <c r="AO990" s="222"/>
      <c r="AP990" s="222"/>
      <c r="AQ990" s="222"/>
      <c r="AR990" s="222"/>
      <c r="AS990" s="222"/>
      <c r="AT990" s="222"/>
      <c r="AU990" s="222"/>
      <c r="AV990" s="222"/>
      <c r="AW990" s="222"/>
      <c r="AX990" s="222"/>
    </row>
    <row r="991" spans="1:50" ht="15.75" customHeight="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  <c r="AC991" s="222"/>
      <c r="AD991" s="222"/>
      <c r="AE991" s="222"/>
      <c r="AF991" s="222"/>
      <c r="AG991" s="222"/>
      <c r="AH991" s="222"/>
      <c r="AI991" s="222"/>
      <c r="AJ991" s="222"/>
      <c r="AK991" s="222"/>
      <c r="AL991" s="222"/>
      <c r="AM991" s="222"/>
      <c r="AN991" s="222"/>
      <c r="AO991" s="222"/>
      <c r="AP991" s="222"/>
      <c r="AQ991" s="222"/>
      <c r="AR991" s="222"/>
      <c r="AS991" s="222"/>
      <c r="AT991" s="222"/>
      <c r="AU991" s="222"/>
      <c r="AV991" s="222"/>
      <c r="AW991" s="222"/>
      <c r="AX991" s="222"/>
    </row>
    <row r="992" spans="1:50" ht="15.75" customHeight="1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  <c r="AB992" s="222"/>
      <c r="AC992" s="222"/>
      <c r="AD992" s="222"/>
      <c r="AE992" s="222"/>
      <c r="AF992" s="222"/>
      <c r="AG992" s="222"/>
      <c r="AH992" s="222"/>
      <c r="AI992" s="222"/>
      <c r="AJ992" s="222"/>
      <c r="AK992" s="222"/>
      <c r="AL992" s="222"/>
      <c r="AM992" s="222"/>
      <c r="AN992" s="222"/>
      <c r="AO992" s="222"/>
      <c r="AP992" s="222"/>
      <c r="AQ992" s="222"/>
      <c r="AR992" s="222"/>
      <c r="AS992" s="222"/>
      <c r="AT992" s="222"/>
      <c r="AU992" s="222"/>
      <c r="AV992" s="222"/>
      <c r="AW992" s="222"/>
      <c r="AX992" s="222"/>
    </row>
    <row r="993" spans="1:50" ht="15.75" customHeight="1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  <c r="AB993" s="222"/>
      <c r="AC993" s="222"/>
      <c r="AD993" s="222"/>
      <c r="AE993" s="222"/>
      <c r="AF993" s="222"/>
      <c r="AG993" s="222"/>
      <c r="AH993" s="222"/>
      <c r="AI993" s="222"/>
      <c r="AJ993" s="222"/>
      <c r="AK993" s="222"/>
      <c r="AL993" s="222"/>
      <c r="AM993" s="222"/>
      <c r="AN993" s="222"/>
      <c r="AO993" s="222"/>
      <c r="AP993" s="222"/>
      <c r="AQ993" s="222"/>
      <c r="AR993" s="222"/>
      <c r="AS993" s="222"/>
      <c r="AT993" s="222"/>
      <c r="AU993" s="222"/>
      <c r="AV993" s="222"/>
      <c r="AW993" s="222"/>
      <c r="AX993" s="222"/>
    </row>
    <row r="994" spans="1:50" ht="15.75" customHeight="1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  <c r="AB994" s="222"/>
      <c r="AC994" s="222"/>
      <c r="AD994" s="222"/>
      <c r="AE994" s="222"/>
      <c r="AF994" s="222"/>
      <c r="AG994" s="222"/>
      <c r="AH994" s="222"/>
      <c r="AI994" s="222"/>
      <c r="AJ994" s="222"/>
      <c r="AK994" s="222"/>
      <c r="AL994" s="222"/>
      <c r="AM994" s="222"/>
      <c r="AN994" s="222"/>
      <c r="AO994" s="222"/>
      <c r="AP994" s="222"/>
      <c r="AQ994" s="222"/>
      <c r="AR994" s="222"/>
      <c r="AS994" s="222"/>
      <c r="AT994" s="222"/>
      <c r="AU994" s="222"/>
      <c r="AV994" s="222"/>
      <c r="AW994" s="222"/>
      <c r="AX994" s="222"/>
    </row>
    <row r="995" spans="1:50" ht="15.75" customHeight="1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  <c r="AA995" s="222"/>
      <c r="AB995" s="222"/>
      <c r="AC995" s="222"/>
      <c r="AD995" s="222"/>
      <c r="AE995" s="222"/>
      <c r="AF995" s="222"/>
      <c r="AG995" s="222"/>
      <c r="AH995" s="222"/>
      <c r="AI995" s="222"/>
      <c r="AJ995" s="222"/>
      <c r="AK995" s="222"/>
      <c r="AL995" s="222"/>
      <c r="AM995" s="222"/>
      <c r="AN995" s="222"/>
      <c r="AO995" s="222"/>
      <c r="AP995" s="222"/>
      <c r="AQ995" s="222"/>
      <c r="AR995" s="222"/>
      <c r="AS995" s="222"/>
      <c r="AT995" s="222"/>
      <c r="AU995" s="222"/>
      <c r="AV995" s="222"/>
      <c r="AW995" s="222"/>
      <c r="AX995" s="222"/>
    </row>
    <row r="996" spans="1:50" ht="15.75" customHeight="1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  <c r="AA996" s="222"/>
      <c r="AB996" s="222"/>
      <c r="AC996" s="222"/>
      <c r="AD996" s="222"/>
      <c r="AE996" s="222"/>
      <c r="AF996" s="222"/>
      <c r="AG996" s="222"/>
      <c r="AH996" s="222"/>
      <c r="AI996" s="222"/>
      <c r="AJ996" s="222"/>
      <c r="AK996" s="222"/>
      <c r="AL996" s="222"/>
      <c r="AM996" s="222"/>
      <c r="AN996" s="222"/>
      <c r="AO996" s="222"/>
      <c r="AP996" s="222"/>
      <c r="AQ996" s="222"/>
      <c r="AR996" s="222"/>
      <c r="AS996" s="222"/>
      <c r="AT996" s="222"/>
      <c r="AU996" s="222"/>
      <c r="AV996" s="222"/>
      <c r="AW996" s="222"/>
      <c r="AX996" s="222"/>
    </row>
    <row r="997" spans="1:50" ht="15.75" customHeight="1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  <c r="AA997" s="222"/>
      <c r="AB997" s="222"/>
      <c r="AC997" s="222"/>
      <c r="AD997" s="222"/>
      <c r="AE997" s="222"/>
      <c r="AF997" s="222"/>
      <c r="AG997" s="222"/>
      <c r="AH997" s="222"/>
      <c r="AI997" s="222"/>
      <c r="AJ997" s="222"/>
      <c r="AK997" s="222"/>
      <c r="AL997" s="222"/>
      <c r="AM997" s="222"/>
      <c r="AN997" s="222"/>
      <c r="AO997" s="222"/>
      <c r="AP997" s="222"/>
      <c r="AQ997" s="222"/>
      <c r="AR997" s="222"/>
      <c r="AS997" s="222"/>
      <c r="AT997" s="222"/>
      <c r="AU997" s="222"/>
      <c r="AV997" s="222"/>
      <c r="AW997" s="222"/>
      <c r="AX997" s="222"/>
    </row>
    <row r="998" spans="1:50" ht="15.75" customHeight="1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  <c r="AA998" s="222"/>
      <c r="AB998" s="222"/>
      <c r="AC998" s="222"/>
      <c r="AD998" s="222"/>
      <c r="AE998" s="222"/>
      <c r="AF998" s="222"/>
      <c r="AG998" s="222"/>
      <c r="AH998" s="222"/>
      <c r="AI998" s="222"/>
      <c r="AJ998" s="222"/>
      <c r="AK998" s="222"/>
      <c r="AL998" s="222"/>
      <c r="AM998" s="222"/>
      <c r="AN998" s="222"/>
      <c r="AO998" s="222"/>
      <c r="AP998" s="222"/>
      <c r="AQ998" s="222"/>
      <c r="AR998" s="222"/>
      <c r="AS998" s="222"/>
      <c r="AT998" s="222"/>
      <c r="AU998" s="222"/>
      <c r="AV998" s="222"/>
      <c r="AW998" s="222"/>
      <c r="AX998" s="222"/>
    </row>
    <row r="999" spans="1:50" ht="15.75" customHeight="1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  <c r="AA999" s="222"/>
      <c r="AB999" s="222"/>
      <c r="AC999" s="222"/>
      <c r="AD999" s="222"/>
      <c r="AE999" s="222"/>
      <c r="AF999" s="222"/>
      <c r="AG999" s="222"/>
      <c r="AH999" s="222"/>
      <c r="AI999" s="222"/>
      <c r="AJ999" s="222"/>
      <c r="AK999" s="222"/>
      <c r="AL999" s="222"/>
      <c r="AM999" s="222"/>
      <c r="AN999" s="222"/>
      <c r="AO999" s="222"/>
      <c r="AP999" s="222"/>
      <c r="AQ999" s="222"/>
      <c r="AR999" s="222"/>
      <c r="AS999" s="222"/>
      <c r="AT999" s="222"/>
      <c r="AU999" s="222"/>
      <c r="AV999" s="222"/>
      <c r="AW999" s="222"/>
      <c r="AX999" s="222"/>
    </row>
    <row r="1000" spans="1:50" ht="15.75" customHeight="1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  <c r="AA1000" s="222"/>
      <c r="AB1000" s="222"/>
      <c r="AC1000" s="222"/>
      <c r="AD1000" s="222"/>
      <c r="AE1000" s="222"/>
      <c r="AF1000" s="222"/>
      <c r="AG1000" s="222"/>
      <c r="AH1000" s="222"/>
      <c r="AI1000" s="222"/>
      <c r="AJ1000" s="222"/>
      <c r="AK1000" s="222"/>
      <c r="AL1000" s="222"/>
      <c r="AM1000" s="222"/>
      <c r="AN1000" s="222"/>
      <c r="AO1000" s="222"/>
      <c r="AP1000" s="222"/>
      <c r="AQ1000" s="222"/>
      <c r="AR1000" s="222"/>
      <c r="AS1000" s="222"/>
      <c r="AT1000" s="222"/>
      <c r="AU1000" s="222"/>
      <c r="AV1000" s="222"/>
      <c r="AW1000" s="222"/>
      <c r="AX1000" s="222"/>
    </row>
  </sheetData>
  <mergeCells count="13">
    <mergeCell ref="R45:T45"/>
    <mergeCell ref="AB45:AC45"/>
    <mergeCell ref="D8:G8"/>
    <mergeCell ref="L26:N26"/>
    <mergeCell ref="B42:H42"/>
    <mergeCell ref="K42:P42"/>
    <mergeCell ref="L45:N45"/>
    <mergeCell ref="C45:F45"/>
    <mergeCell ref="B61:H61"/>
    <mergeCell ref="C64:F64"/>
    <mergeCell ref="B82:L82"/>
    <mergeCell ref="C84:F84"/>
    <mergeCell ref="G84:H84"/>
  </mergeCells>
  <pageMargins left="0.69930555555555496" right="0.69930555555555496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R1000"/>
  <sheetViews>
    <sheetView workbookViewId="0">
      <selection activeCell="B10" sqref="B10:C13"/>
    </sheetView>
  </sheetViews>
  <sheetFormatPr defaultColWidth="14.453125" defaultRowHeight="15" customHeight="1"/>
  <cols>
    <col min="1" max="1" width="11.54296875" customWidth="1"/>
    <col min="2" max="2" width="13.08984375" customWidth="1"/>
    <col min="3" max="18" width="9.08984375" customWidth="1"/>
  </cols>
  <sheetData>
    <row r="1" spans="1:18" ht="14.5">
      <c r="A1" s="265"/>
      <c r="B1" s="222" t="s">
        <v>131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</row>
    <row r="2" spans="1:18" ht="14.5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</row>
    <row r="3" spans="1:18" ht="43.5">
      <c r="A3" s="340" t="s">
        <v>123</v>
      </c>
      <c r="B3" s="16" t="s">
        <v>124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</row>
    <row r="4" spans="1:18" ht="14.5">
      <c r="A4" s="341">
        <v>45658</v>
      </c>
      <c r="B4" s="35">
        <v>141086</v>
      </c>
      <c r="C4" s="265"/>
      <c r="D4" s="265"/>
      <c r="E4" s="265"/>
      <c r="F4" s="265"/>
      <c r="G4" s="265"/>
      <c r="H4" s="265"/>
      <c r="I4" s="265"/>
      <c r="K4" s="265"/>
      <c r="L4" s="265"/>
      <c r="M4" s="265"/>
      <c r="N4" s="265"/>
      <c r="O4" s="265"/>
      <c r="P4" s="265"/>
      <c r="Q4" s="265"/>
      <c r="R4" s="265"/>
    </row>
    <row r="5" spans="1:18" ht="14.5">
      <c r="A5" s="341">
        <v>45689</v>
      </c>
      <c r="B5" s="35">
        <v>135634</v>
      </c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</row>
    <row r="6" spans="1:18" ht="14.5">
      <c r="A6" s="341">
        <v>45717</v>
      </c>
      <c r="B6" s="342">
        <v>119122</v>
      </c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</row>
    <row r="7" spans="1:18" ht="14.5">
      <c r="A7" s="341">
        <v>45748</v>
      </c>
      <c r="B7" s="342">
        <v>102996</v>
      </c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</row>
    <row r="8" spans="1:18" ht="14.5">
      <c r="A8" s="341">
        <v>45778</v>
      </c>
      <c r="B8" s="343">
        <v>116082</v>
      </c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</row>
    <row r="9" spans="1:18" ht="14.5">
      <c r="A9" s="341">
        <v>45809</v>
      </c>
      <c r="B9" s="344">
        <v>120954</v>
      </c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</row>
    <row r="10" spans="1:18" ht="14.5">
      <c r="A10" s="341">
        <v>45839</v>
      </c>
      <c r="B10" s="34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</row>
    <row r="11" spans="1:18" ht="14.5">
      <c r="A11" s="341">
        <v>45870</v>
      </c>
      <c r="B11" s="346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</row>
    <row r="12" spans="1:18" ht="14.5">
      <c r="A12" s="341">
        <v>45901</v>
      </c>
      <c r="B12" s="347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</row>
    <row r="13" spans="1:18" ht="14.5">
      <c r="A13" s="341">
        <v>45931</v>
      </c>
      <c r="B13" s="347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</row>
    <row r="14" spans="1:18" ht="14.5">
      <c r="A14" s="341">
        <v>45962</v>
      </c>
      <c r="B14" s="348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</row>
    <row r="15" spans="1:18" ht="14.5">
      <c r="A15" s="341">
        <v>45992</v>
      </c>
      <c r="B15" s="348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</row>
    <row r="16" spans="1:18" ht="14.5">
      <c r="A16" s="222" t="s">
        <v>25</v>
      </c>
      <c r="B16" s="222">
        <f t="shared" ref="B16" si="0">SUM(B4:B15)</f>
        <v>735874</v>
      </c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</row>
    <row r="17" spans="1:18" ht="14.5">
      <c r="A17" s="265"/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</row>
    <row r="18" spans="1:18" ht="14.5">
      <c r="A18" s="265"/>
      <c r="B18" s="265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</row>
    <row r="19" spans="1:18" ht="14.5">
      <c r="A19" s="265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</row>
    <row r="20" spans="1:18" ht="14.5">
      <c r="A20" s="265"/>
      <c r="B20" s="265"/>
      <c r="C20" s="265"/>
      <c r="D20" s="265"/>
      <c r="E20" s="265"/>
      <c r="F20" s="265"/>
      <c r="G20" s="265"/>
      <c r="H20" s="349"/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1:18" ht="15.75" customHeight="1">
      <c r="A21" s="265"/>
      <c r="B21" s="265"/>
      <c r="C21" s="265"/>
      <c r="D21" s="265"/>
      <c r="E21" s="265"/>
      <c r="F21" s="265"/>
      <c r="G21" s="265"/>
      <c r="H21" s="349"/>
      <c r="I21" s="265"/>
      <c r="J21" s="265"/>
      <c r="K21" s="265"/>
      <c r="L21" s="265"/>
      <c r="M21" s="265"/>
      <c r="N21" s="265"/>
      <c r="O21" s="265"/>
      <c r="P21" s="265"/>
      <c r="Q21" s="265"/>
      <c r="R21" s="265"/>
    </row>
    <row r="22" spans="1:18" ht="15.75" customHeight="1">
      <c r="A22" s="265"/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</row>
    <row r="23" spans="1:18" ht="15.75" customHeight="1">
      <c r="A23" s="265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</row>
    <row r="24" spans="1:18" ht="15.75" customHeight="1">
      <c r="A24" s="265"/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</row>
    <row r="25" spans="1:18" ht="15.75" customHeight="1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</row>
    <row r="26" spans="1:18" ht="15.75" customHeight="1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</row>
    <row r="27" spans="1:18" ht="15.75" customHeight="1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</row>
    <row r="28" spans="1:18" ht="15.75" customHeight="1">
      <c r="A28" s="265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</row>
    <row r="29" spans="1:18" ht="15.75" customHeight="1">
      <c r="A29" s="265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</row>
    <row r="30" spans="1:18" ht="15.75" customHeight="1">
      <c r="A30" s="265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</row>
    <row r="31" spans="1:18" ht="15.75" customHeight="1">
      <c r="A31" s="265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</row>
    <row r="32" spans="1:18" ht="15.75" customHeight="1">
      <c r="A32" s="265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</row>
    <row r="33" spans="1:18" ht="15.75" customHeight="1">
      <c r="A33" s="265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</row>
    <row r="34" spans="1:18" ht="15.75" customHeight="1">
      <c r="A34" s="265"/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</row>
    <row r="35" spans="1:18" ht="15.75" customHeight="1">
      <c r="A35" s="265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</row>
    <row r="36" spans="1:18" ht="15.75" customHeight="1">
      <c r="A36" s="265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</row>
    <row r="37" spans="1:18" ht="15.75" customHeight="1">
      <c r="A37" s="265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</row>
    <row r="38" spans="1:18" ht="15.75" customHeight="1">
      <c r="A38" s="265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</row>
    <row r="39" spans="1:18" ht="15.75" customHeight="1">
      <c r="A39" s="265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</row>
    <row r="40" spans="1:18" ht="15.75" customHeight="1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</row>
    <row r="41" spans="1:18" ht="15.75" customHeight="1">
      <c r="A41" s="265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</row>
    <row r="42" spans="1:18" ht="15.75" customHeight="1">
      <c r="A42" s="265"/>
      <c r="B42" s="265"/>
      <c r="C42" s="265"/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</row>
    <row r="43" spans="1:18" ht="15.75" customHeight="1">
      <c r="A43" s="265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</row>
    <row r="44" spans="1:18" ht="15.75" customHeight="1">
      <c r="A44" s="265"/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</row>
    <row r="45" spans="1:18" ht="15.75" customHeight="1">
      <c r="A45" s="265"/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</row>
    <row r="46" spans="1:18" ht="15.75" customHeight="1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</row>
    <row r="47" spans="1:18" ht="15.75" customHeight="1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</row>
    <row r="48" spans="1:18" ht="15.75" customHeight="1">
      <c r="A48" s="265"/>
      <c r="B48" s="265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</row>
    <row r="49" spans="1:18" ht="15.75" customHeight="1">
      <c r="A49" s="265"/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</row>
    <row r="50" spans="1:18" ht="15.75" customHeight="1">
      <c r="A50" s="265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</row>
    <row r="51" spans="1:18" ht="15.75" customHeight="1">
      <c r="A51" s="265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</row>
    <row r="52" spans="1:18" ht="15.75" customHeight="1">
      <c r="A52" s="265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</row>
    <row r="53" spans="1:18" ht="15.75" customHeight="1">
      <c r="A53" s="265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</row>
    <row r="54" spans="1:18" ht="15.75" customHeight="1">
      <c r="A54" s="265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</row>
    <row r="55" spans="1:18" ht="15.75" customHeight="1">
      <c r="A55" s="265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</row>
    <row r="56" spans="1:18" ht="15.75" customHeight="1">
      <c r="A56" s="265"/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</row>
    <row r="57" spans="1:18" ht="15.75" customHeight="1">
      <c r="A57" s="265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</row>
    <row r="58" spans="1:18" ht="15.75" customHeight="1">
      <c r="A58" s="265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</row>
    <row r="59" spans="1:18" ht="15.75" customHeight="1">
      <c r="A59" s="265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</row>
    <row r="60" spans="1:18" ht="15.75" customHeight="1">
      <c r="A60" s="265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</row>
    <row r="61" spans="1:18" ht="15.75" customHeight="1">
      <c r="A61" s="265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</row>
    <row r="62" spans="1:18" ht="15.75" customHeight="1">
      <c r="A62" s="265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</row>
    <row r="63" spans="1:18" ht="15.75" customHeight="1">
      <c r="A63" s="265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</row>
    <row r="64" spans="1:18" ht="15.75" customHeight="1">
      <c r="A64" s="265"/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</row>
    <row r="65" spans="1:18" ht="15.75" customHeight="1">
      <c r="A65" s="265"/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</row>
    <row r="66" spans="1:18" ht="15.75" customHeight="1">
      <c r="A66" s="265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</row>
    <row r="67" spans="1:18" ht="15.75" customHeight="1">
      <c r="A67" s="265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</row>
    <row r="68" spans="1:18" ht="15.75" customHeight="1">
      <c r="A68" s="265"/>
      <c r="B68" s="265"/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</row>
    <row r="69" spans="1:18" ht="15.75" customHeight="1">
      <c r="A69" s="265"/>
      <c r="B69" s="265"/>
      <c r="C69" s="265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</row>
    <row r="70" spans="1:18" ht="15.75" customHeight="1">
      <c r="A70" s="265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</row>
    <row r="71" spans="1:18" ht="15.75" customHeight="1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</row>
    <row r="72" spans="1:18" ht="15.75" customHeight="1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</row>
    <row r="73" spans="1:18" ht="15.75" customHeight="1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</row>
    <row r="74" spans="1:18" ht="15.75" customHeight="1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</row>
    <row r="75" spans="1:18" ht="15.75" customHeight="1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</row>
    <row r="76" spans="1:18" ht="15.75" customHeight="1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</row>
    <row r="77" spans="1:18" ht="15.75" customHeight="1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</row>
    <row r="78" spans="1:18" ht="15.75" customHeight="1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</row>
    <row r="79" spans="1:18" ht="15.75" customHeight="1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</row>
    <row r="80" spans="1:18" ht="15.75" customHeight="1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</row>
    <row r="81" spans="1:18" ht="15.75" customHeight="1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</row>
    <row r="82" spans="1:18" ht="15.75" customHeight="1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</row>
    <row r="83" spans="1:18" ht="15.75" customHeight="1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</row>
    <row r="84" spans="1:18" ht="15.75" customHeight="1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</row>
    <row r="85" spans="1:18" ht="15.75" customHeight="1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</row>
    <row r="86" spans="1:18" ht="15.75" customHeight="1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</row>
    <row r="87" spans="1:18" ht="15.75" customHeight="1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</row>
    <row r="88" spans="1:18" ht="15.75" customHeight="1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</row>
    <row r="89" spans="1:18" ht="15.75" customHeight="1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</row>
    <row r="90" spans="1:18" ht="15.75" customHeight="1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</row>
    <row r="91" spans="1:18" ht="15.75" customHeight="1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</row>
    <row r="92" spans="1:18" ht="15.75" customHeight="1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</row>
    <row r="93" spans="1:18" ht="15.75" customHeight="1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</row>
    <row r="94" spans="1:18" ht="15.75" customHeight="1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</row>
    <row r="95" spans="1:18" ht="15.75" customHeight="1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</row>
    <row r="96" spans="1:18" ht="15.75" customHeight="1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</row>
    <row r="97" spans="1:18" ht="15.75" customHeight="1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</row>
    <row r="98" spans="1:18" ht="15.75" customHeight="1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</row>
    <row r="99" spans="1:18" ht="15.75" customHeight="1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</row>
    <row r="100" spans="1:18" ht="15.75" customHeight="1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</row>
    <row r="101" spans="1:18" ht="15.75" customHeight="1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</row>
    <row r="102" spans="1:18" ht="15.75" customHeight="1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</row>
    <row r="103" spans="1:18" ht="15.75" customHeight="1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</row>
    <row r="104" spans="1:18" ht="15.75" customHeight="1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</row>
    <row r="105" spans="1:18" ht="15.75" customHeight="1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</row>
    <row r="106" spans="1:18" ht="15.75" customHeight="1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</row>
    <row r="107" spans="1:18" ht="15.75" customHeight="1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</row>
    <row r="108" spans="1:18" ht="15.75" customHeight="1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</row>
    <row r="109" spans="1:18" ht="15.75" customHeight="1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</row>
    <row r="110" spans="1:18" ht="15.75" customHeight="1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</row>
    <row r="111" spans="1:18" ht="15.75" customHeight="1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</row>
    <row r="112" spans="1:18" ht="15.75" customHeight="1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</row>
    <row r="113" spans="1:18" ht="15.75" customHeight="1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</row>
    <row r="114" spans="1:18" ht="15.75" customHeight="1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</row>
    <row r="115" spans="1:18" ht="15.75" customHeight="1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</row>
    <row r="116" spans="1:18" ht="15.75" customHeight="1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</row>
    <row r="117" spans="1:18" ht="15.75" customHeight="1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</row>
    <row r="118" spans="1:18" ht="15.75" customHeight="1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</row>
    <row r="119" spans="1:18" ht="15.75" customHeight="1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</row>
    <row r="120" spans="1:18" ht="15.75" customHeight="1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</row>
    <row r="121" spans="1:18" ht="15.75" customHeight="1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</row>
    <row r="122" spans="1:18" ht="15.75" customHeight="1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</row>
    <row r="123" spans="1:18" ht="15.75" customHeight="1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</row>
    <row r="124" spans="1:18" ht="15.75" customHeight="1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</row>
    <row r="125" spans="1:18" ht="15.75" customHeight="1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</row>
    <row r="126" spans="1:18" ht="15.75" customHeight="1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</row>
    <row r="127" spans="1:18" ht="15.75" customHeight="1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</row>
    <row r="128" spans="1:18" ht="15.75" customHeight="1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</row>
    <row r="129" spans="1:18" ht="15.75" customHeight="1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</row>
    <row r="130" spans="1:18" ht="15.75" customHeight="1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</row>
    <row r="131" spans="1:18" ht="15.75" customHeight="1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</row>
    <row r="132" spans="1:18" ht="15.75" customHeight="1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</row>
    <row r="133" spans="1:18" ht="15.75" customHeight="1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</row>
    <row r="134" spans="1:18" ht="15.75" customHeight="1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</row>
    <row r="135" spans="1:18" ht="15.75" customHeight="1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</row>
    <row r="136" spans="1:18" ht="15.75" customHeight="1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</row>
    <row r="137" spans="1:18" ht="15.75" customHeight="1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</row>
    <row r="138" spans="1:18" ht="15.75" customHeight="1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</row>
    <row r="139" spans="1:18" ht="15.75" customHeight="1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</row>
    <row r="140" spans="1:18" ht="15.75" customHeight="1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</row>
    <row r="141" spans="1:18" ht="15.75" customHeight="1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</row>
    <row r="142" spans="1:18" ht="15.75" customHeight="1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</row>
    <row r="143" spans="1:18" ht="15.75" customHeight="1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</row>
    <row r="144" spans="1:18" ht="15.75" customHeight="1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</row>
    <row r="145" spans="1:18" ht="15.75" customHeight="1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</row>
    <row r="146" spans="1:18" ht="15.75" customHeight="1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</row>
    <row r="147" spans="1:18" ht="15.75" customHeight="1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</row>
    <row r="148" spans="1:18" ht="15.75" customHeight="1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</row>
    <row r="149" spans="1:18" ht="15.75" customHeight="1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</row>
    <row r="150" spans="1:18" ht="15.75" customHeight="1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</row>
    <row r="151" spans="1:18" ht="15.75" customHeight="1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</row>
    <row r="152" spans="1:18" ht="15.75" customHeight="1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</row>
    <row r="153" spans="1:18" ht="15.75" customHeight="1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</row>
    <row r="154" spans="1:18" ht="15.75" customHeight="1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</row>
    <row r="155" spans="1:18" ht="15.75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15.75" customHeight="1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</row>
    <row r="157" spans="1:18" ht="15.75" customHeight="1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</row>
    <row r="158" spans="1:18" ht="15.75" customHeight="1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</row>
    <row r="159" spans="1:18" ht="15.75" customHeight="1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</row>
    <row r="160" spans="1:18" ht="15.75" customHeight="1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</row>
    <row r="161" spans="1:18" ht="15.75" customHeight="1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</row>
    <row r="162" spans="1:18" ht="15.75" customHeight="1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</row>
    <row r="163" spans="1:18" ht="15.75" customHeight="1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</row>
    <row r="164" spans="1:18" ht="15.75" customHeight="1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</row>
    <row r="165" spans="1:18" ht="15.75" customHeight="1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</row>
    <row r="166" spans="1:18" ht="15.75" customHeight="1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</row>
    <row r="167" spans="1:18" ht="15.75" customHeight="1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</row>
    <row r="168" spans="1:18" ht="15.75" customHeight="1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</row>
    <row r="169" spans="1:18" ht="15.75" customHeight="1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</row>
    <row r="170" spans="1:18" ht="15.75" customHeight="1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</row>
    <row r="171" spans="1:18" ht="15.75" customHeight="1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</row>
    <row r="172" spans="1:18" ht="15.75" customHeight="1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</row>
    <row r="173" spans="1:18" ht="15.75" customHeight="1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</row>
    <row r="174" spans="1:18" ht="15.75" customHeight="1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</row>
    <row r="175" spans="1:18" ht="15.75" customHeight="1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</row>
    <row r="176" spans="1:18" ht="15.75" customHeight="1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</row>
    <row r="177" spans="1:18" ht="15.75" customHeight="1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</row>
    <row r="178" spans="1:18" ht="15.75" customHeight="1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</row>
    <row r="179" spans="1:18" ht="15.75" customHeight="1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</row>
    <row r="180" spans="1:18" ht="15.75" customHeight="1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</row>
    <row r="181" spans="1:18" ht="15.75" customHeight="1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</row>
    <row r="182" spans="1:18" ht="15.75" customHeight="1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</row>
    <row r="183" spans="1:18" ht="15.75" customHeight="1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</row>
    <row r="184" spans="1:18" ht="15.75" customHeight="1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</row>
    <row r="185" spans="1:18" ht="15.75" customHeight="1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</row>
    <row r="186" spans="1:18" ht="15.75" customHeight="1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</row>
    <row r="187" spans="1:18" ht="15.75" customHeight="1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</row>
    <row r="188" spans="1:18" ht="15.75" customHeight="1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</row>
    <row r="189" spans="1:18" ht="15.75" customHeight="1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</row>
    <row r="190" spans="1:18" ht="15.75" customHeight="1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</row>
    <row r="191" spans="1:18" ht="15.75" customHeight="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</row>
    <row r="192" spans="1:18" ht="15.75" customHeight="1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</row>
    <row r="193" spans="1:18" ht="15.75" customHeight="1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</row>
    <row r="194" spans="1:18" ht="15.75" customHeight="1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</row>
    <row r="195" spans="1:18" ht="15.75" customHeight="1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</row>
    <row r="196" spans="1:18" ht="15.75" customHeight="1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</row>
    <row r="197" spans="1:18" ht="15.75" customHeight="1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</row>
    <row r="198" spans="1:18" ht="15.75" customHeight="1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</row>
    <row r="199" spans="1:18" ht="15.75" customHeight="1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</row>
    <row r="200" spans="1:18" ht="15.7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</row>
    <row r="201" spans="1:18" ht="15.75" customHeight="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</row>
    <row r="202" spans="1:18" ht="15.75" customHeight="1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</row>
    <row r="203" spans="1:18" ht="15.75" customHeight="1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</row>
    <row r="204" spans="1:18" ht="15.75" customHeight="1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</row>
    <row r="205" spans="1:18" ht="15.75" customHeight="1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</row>
    <row r="206" spans="1:18" ht="15.75" customHeight="1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</row>
    <row r="207" spans="1:18" ht="15.7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</row>
    <row r="208" spans="1:18" ht="15.7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</row>
    <row r="209" spans="1:18" ht="15.7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</row>
    <row r="210" spans="1:18" ht="15.7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</row>
    <row r="211" spans="1:18" ht="15.7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</row>
    <row r="212" spans="1:18" ht="15.7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</row>
    <row r="213" spans="1:18" ht="15.7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</row>
    <row r="214" spans="1:18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</row>
    <row r="215" spans="1:18" ht="15.7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</row>
    <row r="216" spans="1:18" ht="15.7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</row>
    <row r="217" spans="1:18" ht="15.7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</row>
    <row r="218" spans="1:18" ht="15.7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</row>
    <row r="219" spans="1:18" ht="15.7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</row>
    <row r="220" spans="1:18" ht="15.7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</row>
    <row r="221" spans="1:18" ht="15.7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</row>
    <row r="222" spans="1:18" ht="15.7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</row>
    <row r="223" spans="1:18" ht="15.7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</row>
    <row r="224" spans="1:18" ht="15.7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</row>
    <row r="225" spans="1:18" ht="15.7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</row>
    <row r="226" spans="1:18" ht="15.7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</row>
    <row r="227" spans="1:18" ht="15.7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</row>
    <row r="228" spans="1:18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</row>
    <row r="229" spans="1:18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</row>
    <row r="230" spans="1:18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</row>
    <row r="231" spans="1:18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</row>
    <row r="232" spans="1:18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</row>
    <row r="233" spans="1:18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</row>
    <row r="234" spans="1:18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</row>
    <row r="235" spans="1:18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</row>
    <row r="236" spans="1:18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</row>
    <row r="237" spans="1:18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</row>
    <row r="238" spans="1:18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</row>
    <row r="239" spans="1:18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</row>
    <row r="240" spans="1:18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</row>
    <row r="241" spans="1:18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</row>
    <row r="242" spans="1:18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</row>
    <row r="243" spans="1:18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</row>
    <row r="244" spans="1:18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</row>
    <row r="245" spans="1:18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</row>
    <row r="246" spans="1:18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</row>
    <row r="247" spans="1:18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</row>
    <row r="248" spans="1:18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</row>
    <row r="249" spans="1:18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</row>
    <row r="250" spans="1:18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</row>
    <row r="251" spans="1:18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</row>
    <row r="252" spans="1:18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</row>
    <row r="253" spans="1:18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</row>
    <row r="254" spans="1:18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</row>
    <row r="255" spans="1:18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</row>
    <row r="256" spans="1:18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</row>
    <row r="257" spans="1:18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</row>
    <row r="258" spans="1:18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</row>
    <row r="259" spans="1:18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</row>
    <row r="260" spans="1:18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</row>
    <row r="261" spans="1:18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</row>
    <row r="262" spans="1:18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</row>
    <row r="263" spans="1:18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</row>
    <row r="264" spans="1:18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</row>
    <row r="265" spans="1:18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</row>
    <row r="266" spans="1:18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</row>
    <row r="267" spans="1:18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</row>
    <row r="268" spans="1:1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</row>
    <row r="269" spans="1:18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</row>
    <row r="270" spans="1:18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</row>
    <row r="271" spans="1:18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</row>
    <row r="272" spans="1:18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</row>
    <row r="273" spans="1:18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</row>
    <row r="274" spans="1:18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</row>
    <row r="275" spans="1:18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</row>
    <row r="276" spans="1:18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</row>
    <row r="277" spans="1:18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</row>
    <row r="278" spans="1:1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</row>
    <row r="279" spans="1:18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</row>
    <row r="280" spans="1:18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</row>
    <row r="281" spans="1:18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</row>
    <row r="282" spans="1:18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</row>
    <row r="283" spans="1:18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</row>
    <row r="284" spans="1:18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</row>
    <row r="285" spans="1:18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</row>
    <row r="286" spans="1:18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</row>
    <row r="287" spans="1:18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</row>
    <row r="288" spans="1:1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</row>
    <row r="289" spans="1:18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</row>
    <row r="290" spans="1:18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</row>
    <row r="291" spans="1:18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</row>
    <row r="292" spans="1:18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</row>
    <row r="293" spans="1:18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</row>
    <row r="294" spans="1:18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</row>
    <row r="295" spans="1:18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</row>
    <row r="296" spans="1:18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</row>
    <row r="297" spans="1:18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</row>
    <row r="298" spans="1:1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</row>
    <row r="299" spans="1:18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</row>
    <row r="300" spans="1:18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</row>
    <row r="301" spans="1:18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</row>
    <row r="302" spans="1:18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</row>
    <row r="303" spans="1:18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</row>
    <row r="304" spans="1:18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</row>
    <row r="305" spans="1:18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</row>
    <row r="306" spans="1:18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</row>
    <row r="307" spans="1:18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</row>
    <row r="308" spans="1:1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</row>
    <row r="309" spans="1:18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</row>
    <row r="310" spans="1:18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</row>
    <row r="311" spans="1:18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</row>
    <row r="312" spans="1:18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</row>
    <row r="313" spans="1:18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</row>
    <row r="314" spans="1:18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</row>
    <row r="315" spans="1:18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</row>
    <row r="316" spans="1:18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</row>
    <row r="317" spans="1:18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</row>
    <row r="318" spans="1: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</row>
    <row r="319" spans="1:18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</row>
    <row r="320" spans="1:18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</row>
    <row r="321" spans="1:18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</row>
    <row r="322" spans="1:18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</row>
    <row r="323" spans="1:18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</row>
    <row r="324" spans="1:18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</row>
    <row r="325" spans="1:18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</row>
    <row r="326" spans="1:18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</row>
    <row r="327" spans="1:18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</row>
    <row r="328" spans="1:1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</row>
    <row r="329" spans="1:18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</row>
    <row r="330" spans="1:18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</row>
    <row r="331" spans="1:18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</row>
    <row r="332" spans="1:18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</row>
    <row r="333" spans="1:18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</row>
    <row r="334" spans="1:18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</row>
    <row r="335" spans="1:18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</row>
    <row r="336" spans="1:18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</row>
    <row r="337" spans="1:18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</row>
    <row r="338" spans="1:1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</row>
    <row r="339" spans="1:18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</row>
    <row r="340" spans="1:18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</row>
    <row r="341" spans="1:18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</row>
    <row r="342" spans="1:18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</row>
    <row r="343" spans="1:18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</row>
    <row r="344" spans="1:18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</row>
    <row r="345" spans="1:18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</row>
    <row r="346" spans="1:18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</row>
    <row r="347" spans="1:18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</row>
    <row r="348" spans="1:1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</row>
    <row r="349" spans="1:18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</row>
    <row r="350" spans="1:18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</row>
    <row r="351" spans="1:18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</row>
    <row r="352" spans="1:18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</row>
    <row r="353" spans="1:18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</row>
    <row r="354" spans="1:18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</row>
    <row r="355" spans="1:18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</row>
    <row r="356" spans="1:18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</row>
    <row r="357" spans="1:18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</row>
    <row r="358" spans="1:1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</row>
    <row r="359" spans="1:18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</row>
    <row r="360" spans="1:18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</row>
    <row r="361" spans="1:18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</row>
    <row r="362" spans="1:18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</row>
    <row r="363" spans="1:18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</row>
    <row r="364" spans="1:18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</row>
    <row r="365" spans="1:18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</row>
    <row r="366" spans="1:18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</row>
    <row r="367" spans="1:18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</row>
    <row r="368" spans="1:1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</row>
    <row r="369" spans="1:18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</row>
    <row r="370" spans="1:18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</row>
    <row r="371" spans="1:18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</row>
    <row r="372" spans="1:18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</row>
    <row r="373" spans="1:18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</row>
    <row r="374" spans="1:18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</row>
    <row r="375" spans="1:18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</row>
    <row r="376" spans="1:18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</row>
    <row r="377" spans="1:18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</row>
    <row r="378" spans="1:1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</row>
    <row r="379" spans="1:18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</row>
    <row r="380" spans="1:18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</row>
    <row r="381" spans="1:18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</row>
    <row r="382" spans="1:18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</row>
    <row r="383" spans="1:18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</row>
    <row r="384" spans="1:18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</row>
    <row r="385" spans="1:18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</row>
    <row r="386" spans="1:18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</row>
    <row r="387" spans="1:18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</row>
    <row r="388" spans="1:1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</row>
    <row r="389" spans="1:18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</row>
    <row r="390" spans="1:18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</row>
    <row r="391" spans="1:18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</row>
    <row r="392" spans="1:18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</row>
    <row r="393" spans="1:18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</row>
    <row r="394" spans="1:18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</row>
    <row r="395" spans="1:18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</row>
    <row r="396" spans="1:18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</row>
    <row r="397" spans="1:18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</row>
    <row r="398" spans="1:1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</row>
    <row r="399" spans="1:18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</row>
    <row r="400" spans="1:18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</row>
    <row r="401" spans="1:18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</row>
    <row r="402" spans="1:18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</row>
    <row r="403" spans="1:18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</row>
    <row r="404" spans="1:18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</row>
    <row r="405" spans="1:18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</row>
    <row r="406" spans="1:18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</row>
    <row r="407" spans="1:18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</row>
    <row r="408" spans="1:1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</row>
    <row r="409" spans="1:18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</row>
    <row r="410" spans="1:18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</row>
    <row r="411" spans="1:18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</row>
    <row r="412" spans="1:18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</row>
    <row r="413" spans="1:18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</row>
    <row r="414" spans="1:18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</row>
    <row r="415" spans="1:18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</row>
    <row r="416" spans="1:18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</row>
    <row r="417" spans="1:18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</row>
    <row r="418" spans="1: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</row>
    <row r="419" spans="1:18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</row>
    <row r="420" spans="1:18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</row>
    <row r="421" spans="1:18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</row>
    <row r="422" spans="1:18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</row>
    <row r="423" spans="1:18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</row>
    <row r="424" spans="1:18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</row>
    <row r="425" spans="1:18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</row>
    <row r="426" spans="1:18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</row>
    <row r="427" spans="1:18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</row>
    <row r="428" spans="1:1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</row>
    <row r="429" spans="1:18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</row>
    <row r="430" spans="1:18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</row>
    <row r="431" spans="1:18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</row>
    <row r="432" spans="1:18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</row>
    <row r="433" spans="1:18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</row>
    <row r="434" spans="1:18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</row>
    <row r="435" spans="1:18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</row>
    <row r="436" spans="1:18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</row>
    <row r="437" spans="1:18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</row>
    <row r="438" spans="1:1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</row>
    <row r="439" spans="1:18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</row>
    <row r="440" spans="1:18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</row>
    <row r="441" spans="1:18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</row>
    <row r="442" spans="1:18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</row>
    <row r="443" spans="1:18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</row>
    <row r="444" spans="1:18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</row>
    <row r="445" spans="1:18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</row>
    <row r="446" spans="1:18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</row>
    <row r="447" spans="1:18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</row>
    <row r="448" spans="1:1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</row>
    <row r="449" spans="1:18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</row>
    <row r="450" spans="1:18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</row>
    <row r="451" spans="1:18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</row>
    <row r="452" spans="1:18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</row>
    <row r="453" spans="1:18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</row>
    <row r="454" spans="1:18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</row>
    <row r="455" spans="1:18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</row>
    <row r="456" spans="1:18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</row>
    <row r="457" spans="1:18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</row>
    <row r="458" spans="1:1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</row>
    <row r="459" spans="1:18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</row>
    <row r="460" spans="1:18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</row>
    <row r="461" spans="1:18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</row>
    <row r="462" spans="1:18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</row>
    <row r="463" spans="1:18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</row>
    <row r="464" spans="1:18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</row>
    <row r="465" spans="1:18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</row>
    <row r="466" spans="1:18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</row>
    <row r="467" spans="1:18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</row>
    <row r="468" spans="1:1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</row>
    <row r="469" spans="1:18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</row>
    <row r="470" spans="1:18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</row>
    <row r="471" spans="1:18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</row>
    <row r="472" spans="1:18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</row>
    <row r="473" spans="1:18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</row>
    <row r="474" spans="1:18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</row>
    <row r="475" spans="1:18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</row>
    <row r="476" spans="1:18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</row>
    <row r="477" spans="1:18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</row>
    <row r="478" spans="1:1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</row>
    <row r="479" spans="1:18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</row>
    <row r="480" spans="1:18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</row>
    <row r="481" spans="1:18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</row>
    <row r="482" spans="1:18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</row>
    <row r="483" spans="1:18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</row>
    <row r="484" spans="1:18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</row>
    <row r="485" spans="1:18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</row>
    <row r="486" spans="1:18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</row>
    <row r="487" spans="1:18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</row>
    <row r="488" spans="1:1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</row>
    <row r="489" spans="1:18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</row>
    <row r="490" spans="1:18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</row>
    <row r="491" spans="1:18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</row>
    <row r="492" spans="1:18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</row>
    <row r="493" spans="1:18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</row>
    <row r="494" spans="1:18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</row>
    <row r="495" spans="1:18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</row>
    <row r="496" spans="1:18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</row>
    <row r="497" spans="1:18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</row>
    <row r="498" spans="1:1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</row>
    <row r="499" spans="1:18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</row>
    <row r="500" spans="1:18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</row>
    <row r="501" spans="1:18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</row>
    <row r="502" spans="1:18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</row>
    <row r="503" spans="1:18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</row>
    <row r="504" spans="1:18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</row>
    <row r="505" spans="1:18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</row>
    <row r="506" spans="1:18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</row>
    <row r="507" spans="1:18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</row>
    <row r="508" spans="1:1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</row>
    <row r="509" spans="1:18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</row>
    <row r="510" spans="1:18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</row>
    <row r="511" spans="1:18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</row>
    <row r="512" spans="1:18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</row>
    <row r="513" spans="1:18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</row>
    <row r="514" spans="1:18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</row>
    <row r="515" spans="1:18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</row>
    <row r="516" spans="1:18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</row>
    <row r="517" spans="1:18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</row>
    <row r="518" spans="1: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</row>
    <row r="519" spans="1:18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</row>
    <row r="520" spans="1:18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</row>
    <row r="521" spans="1:18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</row>
    <row r="522" spans="1:18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</row>
    <row r="523" spans="1:18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</row>
    <row r="524" spans="1:18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</row>
    <row r="525" spans="1:18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</row>
    <row r="526" spans="1:18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</row>
    <row r="527" spans="1:18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</row>
    <row r="528" spans="1:1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</row>
    <row r="529" spans="1:18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</row>
    <row r="530" spans="1:18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</row>
    <row r="531" spans="1:18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</row>
    <row r="532" spans="1:18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</row>
    <row r="533" spans="1:18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</row>
    <row r="534" spans="1:18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</row>
    <row r="535" spans="1:18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</row>
    <row r="536" spans="1:18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</row>
    <row r="537" spans="1:18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</row>
    <row r="538" spans="1:1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</row>
    <row r="539" spans="1:18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</row>
    <row r="540" spans="1:18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</row>
    <row r="541" spans="1:18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</row>
    <row r="542" spans="1:18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</row>
    <row r="543" spans="1:18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</row>
    <row r="544" spans="1:18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</row>
    <row r="545" spans="1:18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</row>
    <row r="546" spans="1:18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</row>
    <row r="547" spans="1:18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</row>
    <row r="548" spans="1:1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</row>
    <row r="549" spans="1:18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</row>
    <row r="550" spans="1:18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</row>
    <row r="551" spans="1:18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</row>
    <row r="552" spans="1:18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</row>
    <row r="553" spans="1:18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</row>
    <row r="554" spans="1:18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</row>
    <row r="555" spans="1:18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</row>
    <row r="556" spans="1:18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</row>
    <row r="557" spans="1:18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</row>
    <row r="558" spans="1:1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</row>
    <row r="559" spans="1:18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</row>
    <row r="560" spans="1:18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</row>
    <row r="561" spans="1:18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</row>
    <row r="562" spans="1:18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</row>
    <row r="563" spans="1:18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</row>
    <row r="564" spans="1:18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</row>
    <row r="565" spans="1:18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</row>
    <row r="566" spans="1:18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</row>
    <row r="567" spans="1:18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</row>
    <row r="568" spans="1:1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</row>
    <row r="569" spans="1:18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</row>
    <row r="570" spans="1:18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</row>
    <row r="571" spans="1:18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</row>
    <row r="572" spans="1:18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</row>
    <row r="573" spans="1:18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</row>
    <row r="574" spans="1:18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</row>
    <row r="575" spans="1:18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</row>
    <row r="576" spans="1:18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</row>
    <row r="577" spans="1:18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</row>
    <row r="578" spans="1:1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</row>
    <row r="579" spans="1:18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</row>
    <row r="580" spans="1:18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</row>
    <row r="581" spans="1:18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</row>
    <row r="582" spans="1:18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</row>
    <row r="583" spans="1:18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</row>
    <row r="584" spans="1:18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</row>
    <row r="585" spans="1:18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</row>
    <row r="586" spans="1:18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</row>
    <row r="587" spans="1:18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</row>
    <row r="588" spans="1:1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</row>
    <row r="589" spans="1:18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</row>
    <row r="590" spans="1:18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</row>
    <row r="591" spans="1:18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</row>
    <row r="592" spans="1:18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</row>
    <row r="593" spans="1:18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</row>
    <row r="594" spans="1:18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</row>
    <row r="595" spans="1:18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</row>
    <row r="596" spans="1:18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</row>
    <row r="597" spans="1:18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</row>
    <row r="598" spans="1:1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</row>
    <row r="599" spans="1:18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</row>
    <row r="600" spans="1:18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</row>
    <row r="601" spans="1:18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</row>
    <row r="602" spans="1:18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</row>
    <row r="603" spans="1:18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</row>
    <row r="604" spans="1:18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</row>
    <row r="605" spans="1:18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</row>
    <row r="606" spans="1:18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</row>
    <row r="607" spans="1:18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</row>
    <row r="608" spans="1:1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</row>
    <row r="609" spans="1:18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</row>
    <row r="610" spans="1:18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</row>
    <row r="611" spans="1:18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</row>
    <row r="612" spans="1:18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</row>
    <row r="613" spans="1:18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</row>
    <row r="614" spans="1:18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</row>
    <row r="615" spans="1:18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</row>
    <row r="616" spans="1:18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</row>
    <row r="617" spans="1:18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</row>
    <row r="618" spans="1: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</row>
    <row r="619" spans="1:18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</row>
    <row r="620" spans="1:18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</row>
    <row r="621" spans="1:18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</row>
    <row r="622" spans="1:18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</row>
    <row r="623" spans="1:18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</row>
    <row r="624" spans="1:18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</row>
    <row r="625" spans="1:18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</row>
    <row r="626" spans="1:18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</row>
    <row r="627" spans="1:18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</row>
    <row r="628" spans="1:1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</row>
    <row r="629" spans="1:18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</row>
    <row r="630" spans="1:18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</row>
    <row r="631" spans="1:18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</row>
    <row r="632" spans="1:18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</row>
    <row r="633" spans="1:18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</row>
    <row r="634" spans="1:18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</row>
    <row r="635" spans="1:18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</row>
    <row r="636" spans="1:18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</row>
    <row r="637" spans="1:18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</row>
    <row r="638" spans="1:1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</row>
    <row r="639" spans="1:18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</row>
    <row r="640" spans="1:18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</row>
    <row r="641" spans="1:18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</row>
    <row r="642" spans="1:18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</row>
    <row r="643" spans="1:18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</row>
    <row r="644" spans="1:18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</row>
    <row r="645" spans="1:18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</row>
    <row r="646" spans="1:18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</row>
    <row r="647" spans="1:18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</row>
    <row r="648" spans="1:1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</row>
    <row r="649" spans="1:18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</row>
    <row r="650" spans="1:18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</row>
    <row r="651" spans="1:18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</row>
    <row r="652" spans="1:18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</row>
    <row r="653" spans="1:18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</row>
    <row r="654" spans="1:18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</row>
    <row r="655" spans="1:18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</row>
    <row r="656" spans="1:18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</row>
    <row r="657" spans="1:18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</row>
    <row r="658" spans="1:1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</row>
    <row r="659" spans="1:18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</row>
    <row r="660" spans="1:18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</row>
    <row r="661" spans="1:18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</row>
    <row r="662" spans="1:18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</row>
    <row r="663" spans="1:18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</row>
    <row r="664" spans="1:18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</row>
    <row r="665" spans="1:18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</row>
    <row r="666" spans="1:18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</row>
    <row r="667" spans="1:18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</row>
    <row r="668" spans="1:1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</row>
    <row r="669" spans="1:18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</row>
    <row r="670" spans="1:18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</row>
    <row r="671" spans="1:18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</row>
    <row r="672" spans="1:18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</row>
    <row r="673" spans="1:18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</row>
    <row r="674" spans="1:18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</row>
    <row r="675" spans="1:18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</row>
    <row r="676" spans="1:18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</row>
    <row r="677" spans="1:18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</row>
    <row r="678" spans="1:1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</row>
    <row r="679" spans="1:18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</row>
    <row r="680" spans="1:18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</row>
    <row r="681" spans="1:18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</row>
    <row r="682" spans="1:18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</row>
    <row r="683" spans="1:18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</row>
    <row r="684" spans="1:18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</row>
    <row r="685" spans="1:18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</row>
    <row r="686" spans="1:18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</row>
    <row r="687" spans="1:18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</row>
    <row r="688" spans="1:1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</row>
    <row r="689" spans="1:18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</row>
    <row r="690" spans="1:18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</row>
    <row r="691" spans="1:18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</row>
    <row r="692" spans="1:18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</row>
    <row r="693" spans="1:18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</row>
    <row r="694" spans="1:18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</row>
    <row r="695" spans="1:18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</row>
    <row r="696" spans="1:18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</row>
    <row r="697" spans="1:18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</row>
    <row r="698" spans="1:1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</row>
    <row r="699" spans="1:18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</row>
    <row r="700" spans="1:18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</row>
    <row r="701" spans="1:18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</row>
    <row r="702" spans="1:18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</row>
    <row r="703" spans="1:18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</row>
    <row r="704" spans="1:18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</row>
    <row r="705" spans="1:18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</row>
    <row r="706" spans="1:18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</row>
    <row r="707" spans="1:18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</row>
    <row r="708" spans="1:1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</row>
    <row r="709" spans="1:18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</row>
    <row r="710" spans="1:18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</row>
    <row r="711" spans="1:18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</row>
    <row r="712" spans="1:18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</row>
    <row r="713" spans="1:18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</row>
    <row r="714" spans="1:18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</row>
    <row r="715" spans="1:18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</row>
    <row r="716" spans="1:18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</row>
    <row r="717" spans="1:18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</row>
    <row r="718" spans="1: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</row>
    <row r="719" spans="1:18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</row>
    <row r="720" spans="1:18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</row>
    <row r="721" spans="1:18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</row>
    <row r="722" spans="1:18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</row>
    <row r="723" spans="1:18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</row>
    <row r="724" spans="1:18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</row>
    <row r="725" spans="1:18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</row>
    <row r="726" spans="1:18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</row>
    <row r="727" spans="1:18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</row>
    <row r="728" spans="1:1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</row>
    <row r="729" spans="1:18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</row>
    <row r="730" spans="1:18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</row>
    <row r="731" spans="1:18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</row>
    <row r="732" spans="1:18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</row>
    <row r="733" spans="1:18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</row>
    <row r="734" spans="1:18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</row>
    <row r="735" spans="1:18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</row>
    <row r="736" spans="1:18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</row>
    <row r="737" spans="1:18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</row>
    <row r="738" spans="1:1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</row>
    <row r="739" spans="1:18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</row>
    <row r="740" spans="1:18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</row>
    <row r="741" spans="1:18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</row>
    <row r="742" spans="1:18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</row>
    <row r="743" spans="1:18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</row>
    <row r="744" spans="1:18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</row>
    <row r="745" spans="1:18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</row>
    <row r="746" spans="1:18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</row>
    <row r="747" spans="1:18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</row>
    <row r="748" spans="1:1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</row>
    <row r="749" spans="1:18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</row>
    <row r="750" spans="1:18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</row>
    <row r="751" spans="1:18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</row>
    <row r="752" spans="1:18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</row>
    <row r="753" spans="1:18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</row>
    <row r="754" spans="1:18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</row>
    <row r="755" spans="1:18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</row>
    <row r="756" spans="1:18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</row>
    <row r="757" spans="1:18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</row>
    <row r="758" spans="1:1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</row>
    <row r="759" spans="1:18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</row>
    <row r="760" spans="1:18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</row>
    <row r="761" spans="1:18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</row>
    <row r="762" spans="1:18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</row>
    <row r="763" spans="1:18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</row>
    <row r="764" spans="1:18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</row>
    <row r="765" spans="1:18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</row>
    <row r="766" spans="1:18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</row>
    <row r="767" spans="1:18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</row>
    <row r="768" spans="1:1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</row>
    <row r="769" spans="1:18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</row>
    <row r="770" spans="1:18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</row>
    <row r="771" spans="1:18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</row>
    <row r="772" spans="1:18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</row>
    <row r="773" spans="1:18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</row>
    <row r="774" spans="1:18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</row>
    <row r="775" spans="1:18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</row>
    <row r="776" spans="1:18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</row>
    <row r="777" spans="1:18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</row>
    <row r="778" spans="1:1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</row>
    <row r="779" spans="1:18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</row>
    <row r="780" spans="1:18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</row>
    <row r="781" spans="1:18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</row>
    <row r="782" spans="1:18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</row>
    <row r="783" spans="1:18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</row>
    <row r="784" spans="1:18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</row>
    <row r="785" spans="1:18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</row>
    <row r="786" spans="1:18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</row>
    <row r="787" spans="1:18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</row>
    <row r="788" spans="1:1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</row>
    <row r="789" spans="1:18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</row>
    <row r="790" spans="1:18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</row>
    <row r="791" spans="1:18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</row>
    <row r="792" spans="1:18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</row>
    <row r="793" spans="1:18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</row>
    <row r="794" spans="1:18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</row>
    <row r="795" spans="1:18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</row>
    <row r="796" spans="1:18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</row>
    <row r="797" spans="1:18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</row>
    <row r="798" spans="1:1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</row>
    <row r="799" spans="1:18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</row>
    <row r="800" spans="1:18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</row>
    <row r="801" spans="1:18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</row>
    <row r="802" spans="1:18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</row>
    <row r="803" spans="1:18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</row>
    <row r="804" spans="1:18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</row>
    <row r="805" spans="1:18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</row>
    <row r="806" spans="1:18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</row>
    <row r="807" spans="1:18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</row>
    <row r="808" spans="1:1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</row>
    <row r="809" spans="1:18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</row>
    <row r="810" spans="1:18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</row>
    <row r="811" spans="1:18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</row>
    <row r="812" spans="1:18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</row>
    <row r="813" spans="1:18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</row>
    <row r="814" spans="1:18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</row>
    <row r="815" spans="1:18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</row>
    <row r="816" spans="1:18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</row>
    <row r="817" spans="1:18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</row>
    <row r="818" spans="1: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</row>
    <row r="819" spans="1:18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</row>
    <row r="820" spans="1:18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</row>
    <row r="821" spans="1:18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</row>
    <row r="822" spans="1:18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</row>
    <row r="823" spans="1:18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</row>
    <row r="824" spans="1:18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</row>
    <row r="825" spans="1:18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</row>
    <row r="826" spans="1:18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</row>
    <row r="827" spans="1:18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</row>
    <row r="828" spans="1:1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</row>
    <row r="829" spans="1:18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</row>
    <row r="830" spans="1:18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</row>
    <row r="831" spans="1:18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</row>
    <row r="832" spans="1:18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</row>
    <row r="833" spans="1:18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</row>
    <row r="834" spans="1:18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</row>
    <row r="835" spans="1:18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</row>
    <row r="836" spans="1:18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</row>
    <row r="837" spans="1:18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</row>
    <row r="838" spans="1:1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</row>
    <row r="839" spans="1:18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</row>
    <row r="840" spans="1:18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</row>
    <row r="841" spans="1:18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</row>
    <row r="842" spans="1:18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</row>
    <row r="843" spans="1:18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</row>
    <row r="844" spans="1:18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</row>
    <row r="845" spans="1:18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</row>
    <row r="846" spans="1:18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</row>
    <row r="847" spans="1:18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</row>
    <row r="848" spans="1:1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</row>
    <row r="849" spans="1:18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</row>
    <row r="850" spans="1:18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</row>
    <row r="851" spans="1:18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</row>
    <row r="852" spans="1:18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</row>
    <row r="853" spans="1:18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</row>
    <row r="854" spans="1:18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</row>
    <row r="855" spans="1:18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</row>
    <row r="856" spans="1:18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</row>
    <row r="857" spans="1:18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</row>
    <row r="858" spans="1:1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</row>
    <row r="859" spans="1:18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</row>
    <row r="860" spans="1:18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</row>
    <row r="861" spans="1:18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</row>
    <row r="862" spans="1:18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</row>
    <row r="863" spans="1:18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</row>
    <row r="864" spans="1:18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</row>
    <row r="865" spans="1:18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</row>
    <row r="866" spans="1:18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</row>
    <row r="867" spans="1:18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</row>
    <row r="868" spans="1:1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</row>
    <row r="869" spans="1:18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</row>
    <row r="870" spans="1:18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</row>
    <row r="871" spans="1:18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</row>
    <row r="872" spans="1:18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</row>
    <row r="873" spans="1:18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</row>
    <row r="874" spans="1:18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</row>
    <row r="875" spans="1:18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</row>
    <row r="876" spans="1:18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</row>
    <row r="877" spans="1:18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</row>
    <row r="878" spans="1:1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</row>
    <row r="879" spans="1:18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</row>
    <row r="880" spans="1:18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</row>
    <row r="881" spans="1:18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</row>
    <row r="882" spans="1:18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</row>
    <row r="883" spans="1:18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</row>
    <row r="884" spans="1:18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</row>
    <row r="885" spans="1:18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</row>
    <row r="886" spans="1:18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</row>
    <row r="887" spans="1:18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</row>
    <row r="888" spans="1:1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</row>
    <row r="889" spans="1:18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</row>
    <row r="890" spans="1:18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</row>
    <row r="891" spans="1:18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</row>
    <row r="892" spans="1:18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</row>
    <row r="893" spans="1:18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</row>
    <row r="894" spans="1:18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</row>
    <row r="895" spans="1:18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</row>
    <row r="896" spans="1:18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</row>
    <row r="897" spans="1:18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</row>
    <row r="898" spans="1:1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</row>
    <row r="899" spans="1:18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</row>
    <row r="900" spans="1:18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</row>
    <row r="901" spans="1:18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</row>
    <row r="902" spans="1:18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</row>
    <row r="903" spans="1:18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</row>
    <row r="904" spans="1:18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</row>
    <row r="905" spans="1:18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</row>
    <row r="906" spans="1:18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</row>
    <row r="907" spans="1:18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</row>
    <row r="908" spans="1:1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</row>
    <row r="909" spans="1:18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</row>
    <row r="910" spans="1:18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</row>
    <row r="911" spans="1:18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</row>
    <row r="912" spans="1:18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</row>
    <row r="913" spans="1:18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</row>
    <row r="914" spans="1:18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</row>
    <row r="915" spans="1:18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</row>
    <row r="916" spans="1:18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</row>
    <row r="917" spans="1:18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</row>
    <row r="918" spans="1: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</row>
    <row r="919" spans="1:18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</row>
    <row r="920" spans="1:18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</row>
    <row r="921" spans="1:18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</row>
    <row r="922" spans="1:18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</row>
    <row r="923" spans="1:18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</row>
    <row r="924" spans="1:18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</row>
    <row r="925" spans="1:18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</row>
    <row r="926" spans="1:18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</row>
    <row r="927" spans="1:18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</row>
    <row r="928" spans="1:1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</row>
    <row r="929" spans="1:18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</row>
    <row r="930" spans="1:18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</row>
    <row r="931" spans="1:18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</row>
    <row r="932" spans="1:18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</row>
    <row r="933" spans="1:18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</row>
    <row r="934" spans="1:18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</row>
    <row r="935" spans="1:18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</row>
    <row r="936" spans="1:18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</row>
    <row r="937" spans="1:18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</row>
    <row r="938" spans="1:1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</row>
    <row r="939" spans="1:18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</row>
    <row r="940" spans="1:18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</row>
    <row r="941" spans="1:18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</row>
    <row r="942" spans="1:18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</row>
    <row r="943" spans="1:18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</row>
    <row r="944" spans="1:18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</row>
    <row r="945" spans="1:18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</row>
    <row r="946" spans="1:18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</row>
    <row r="947" spans="1:18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</row>
    <row r="948" spans="1:1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</row>
    <row r="949" spans="1:18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</row>
    <row r="950" spans="1:18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</row>
    <row r="951" spans="1:18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</row>
    <row r="952" spans="1:18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</row>
    <row r="953" spans="1:18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</row>
    <row r="954" spans="1:18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</row>
    <row r="955" spans="1:18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</row>
    <row r="956" spans="1:18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</row>
    <row r="957" spans="1:18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</row>
    <row r="958" spans="1:1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</row>
    <row r="959" spans="1:18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</row>
    <row r="960" spans="1:18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</row>
    <row r="961" spans="1:18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</row>
    <row r="962" spans="1:18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</row>
    <row r="963" spans="1:18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</row>
    <row r="964" spans="1:18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</row>
    <row r="965" spans="1:18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</row>
    <row r="966" spans="1:18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</row>
    <row r="967" spans="1:18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</row>
    <row r="968" spans="1:1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</row>
    <row r="969" spans="1:18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</row>
    <row r="970" spans="1:18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</row>
    <row r="971" spans="1:18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</row>
    <row r="972" spans="1:18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</row>
    <row r="973" spans="1:18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</row>
    <row r="974" spans="1:18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</row>
    <row r="975" spans="1:18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</row>
    <row r="976" spans="1:18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</row>
    <row r="977" spans="1:18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</row>
    <row r="978" spans="1:1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</row>
    <row r="979" spans="1:18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</row>
    <row r="980" spans="1:18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</row>
    <row r="981" spans="1:18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</row>
    <row r="982" spans="1:18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</row>
    <row r="983" spans="1:18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</row>
    <row r="984" spans="1:18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</row>
    <row r="985" spans="1:18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</row>
    <row r="986" spans="1:18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</row>
    <row r="987" spans="1:18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</row>
    <row r="988" spans="1:1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</row>
    <row r="989" spans="1:18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</row>
    <row r="990" spans="1:18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</row>
    <row r="991" spans="1:18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</row>
    <row r="992" spans="1:18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</row>
    <row r="993" spans="1:18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</row>
    <row r="994" spans="1:18" ht="15.75" customHeight="1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</row>
    <row r="995" spans="1:18" ht="15.75" customHeight="1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</row>
    <row r="996" spans="1:18" ht="15.75" customHeight="1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</row>
    <row r="997" spans="1:18" ht="15.75" customHeight="1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</row>
    <row r="998" spans="1:18" ht="15.75" customHeight="1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</row>
    <row r="999" spans="1:18" ht="15.75" customHeight="1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</row>
    <row r="1000" spans="1:18" ht="15.75" customHeight="1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2:V1000"/>
  <sheetViews>
    <sheetView workbookViewId="0">
      <selection activeCell="J13" sqref="J13"/>
    </sheetView>
  </sheetViews>
  <sheetFormatPr defaultColWidth="14.453125" defaultRowHeight="15" customHeight="1"/>
  <cols>
    <col min="1" max="1" width="9" customWidth="1"/>
    <col min="2" max="2" width="17.81640625" customWidth="1"/>
    <col min="3" max="3" width="13" customWidth="1"/>
    <col min="4" max="4" width="11" customWidth="1"/>
    <col min="5" max="5" width="11.453125" customWidth="1"/>
    <col min="6" max="6" width="25.08984375" customWidth="1"/>
    <col min="7" max="10" width="13" customWidth="1"/>
    <col min="11" max="11" width="9.453125" customWidth="1"/>
    <col min="12" max="12" width="9" customWidth="1"/>
    <col min="13" max="13" width="12.81640625" customWidth="1"/>
    <col min="14" max="26" width="9" customWidth="1"/>
  </cols>
  <sheetData>
    <row r="2" spans="1:22" ht="14.5">
      <c r="A2" s="273" t="s">
        <v>130</v>
      </c>
      <c r="B2" s="1"/>
      <c r="C2" s="1"/>
      <c r="D2" s="1"/>
      <c r="E2" s="1"/>
      <c r="F2" s="1"/>
      <c r="G2" s="1"/>
      <c r="H2" s="1"/>
      <c r="I2" s="1"/>
      <c r="J2" s="1"/>
    </row>
    <row r="3" spans="1:22" ht="14.5">
      <c r="A3" s="1"/>
      <c r="B3" s="1"/>
      <c r="C3" s="1"/>
      <c r="D3" s="1"/>
      <c r="E3" s="1"/>
      <c r="F3" s="1"/>
      <c r="G3" s="1"/>
      <c r="H3" s="1"/>
      <c r="I3" s="1"/>
      <c r="J3" s="1"/>
      <c r="N3" s="456"/>
      <c r="O3" s="457"/>
      <c r="P3" s="457"/>
      <c r="Q3" s="457"/>
      <c r="R3" s="350"/>
      <c r="S3" s="458"/>
      <c r="T3" s="452"/>
      <c r="U3" s="454"/>
      <c r="V3" s="455"/>
    </row>
    <row r="4" spans="1:22" ht="14.5">
      <c r="A4" s="150" t="s">
        <v>3</v>
      </c>
      <c r="B4" s="351" t="s">
        <v>125</v>
      </c>
      <c r="C4" s="352" t="s">
        <v>126</v>
      </c>
      <c r="D4" s="353" t="s">
        <v>127</v>
      </c>
      <c r="E4" s="353" t="s">
        <v>128</v>
      </c>
      <c r="F4" s="354" t="s">
        <v>129</v>
      </c>
      <c r="G4" s="4"/>
      <c r="H4" s="4"/>
      <c r="I4" s="4"/>
      <c r="J4" s="4"/>
      <c r="K4" s="4"/>
      <c r="L4" s="4"/>
      <c r="M4" s="4"/>
      <c r="N4" s="441"/>
      <c r="O4" s="441"/>
      <c r="P4" s="441"/>
      <c r="Q4" s="441"/>
      <c r="R4" s="355"/>
      <c r="S4" s="459"/>
      <c r="T4" s="453"/>
      <c r="U4" s="453"/>
      <c r="V4" s="417"/>
    </row>
    <row r="5" spans="1:22" ht="14.5">
      <c r="A5" s="30">
        <v>45658</v>
      </c>
      <c r="B5" s="356">
        <v>14420</v>
      </c>
      <c r="C5" s="357">
        <v>0</v>
      </c>
      <c r="D5" s="357">
        <v>0</v>
      </c>
      <c r="E5" s="357">
        <v>4415</v>
      </c>
      <c r="F5" s="358">
        <v>306</v>
      </c>
      <c r="G5" s="359"/>
      <c r="H5" s="265"/>
      <c r="I5" s="265"/>
      <c r="J5" s="265"/>
      <c r="K5" s="359"/>
      <c r="L5" s="359"/>
      <c r="M5" s="265"/>
      <c r="N5" s="359"/>
      <c r="O5" s="359"/>
      <c r="P5" s="359"/>
      <c r="Q5" s="359"/>
      <c r="R5" s="360"/>
      <c r="S5" s="361"/>
      <c r="T5" s="362"/>
      <c r="U5" s="363"/>
      <c r="V5" s="191"/>
    </row>
    <row r="6" spans="1:22" ht="14.5">
      <c r="A6" s="30">
        <v>45689</v>
      </c>
      <c r="B6" s="356">
        <v>29710</v>
      </c>
      <c r="C6" s="357">
        <v>0</v>
      </c>
      <c r="D6" s="357">
        <v>0</v>
      </c>
      <c r="E6" s="357">
        <v>3266</v>
      </c>
      <c r="F6" s="358">
        <v>110</v>
      </c>
      <c r="G6" s="359"/>
      <c r="H6" s="265"/>
      <c r="I6" s="265"/>
      <c r="J6" s="265"/>
      <c r="K6" s="359"/>
      <c r="L6" s="359"/>
      <c r="M6" s="265"/>
      <c r="N6" s="359"/>
      <c r="O6" s="359"/>
      <c r="P6" s="359"/>
      <c r="Q6" s="359"/>
      <c r="R6" s="360"/>
      <c r="S6" s="361"/>
      <c r="T6" s="362"/>
      <c r="U6" s="363"/>
      <c r="V6" s="191"/>
    </row>
    <row r="7" spans="1:22" ht="14.5">
      <c r="A7" s="30">
        <v>45717</v>
      </c>
      <c r="B7" s="356">
        <v>0</v>
      </c>
      <c r="C7" s="357">
        <v>0</v>
      </c>
      <c r="D7" s="357">
        <v>0</v>
      </c>
      <c r="E7" s="357">
        <v>0</v>
      </c>
      <c r="F7" s="358" t="e">
        <v>#DIV/0!</v>
      </c>
      <c r="G7" s="82"/>
      <c r="H7" s="82"/>
      <c r="I7" s="82"/>
      <c r="J7" s="82"/>
      <c r="K7" s="82"/>
      <c r="L7" s="82"/>
      <c r="M7" s="1"/>
      <c r="N7" s="265"/>
      <c r="O7" s="265"/>
      <c r="P7" s="265"/>
      <c r="Q7" s="265"/>
      <c r="R7" s="364"/>
      <c r="S7" s="365"/>
      <c r="T7" s="365"/>
      <c r="U7" s="366"/>
      <c r="V7" s="191"/>
    </row>
    <row r="8" spans="1:22" ht="14.5">
      <c r="A8" s="30">
        <v>45748</v>
      </c>
      <c r="B8" s="367">
        <v>17550</v>
      </c>
      <c r="C8" s="368">
        <v>0</v>
      </c>
      <c r="D8" s="368">
        <v>0</v>
      </c>
      <c r="E8" s="368">
        <v>5705</v>
      </c>
      <c r="F8" s="358">
        <v>325</v>
      </c>
      <c r="G8" s="82"/>
      <c r="H8" s="82"/>
      <c r="I8" s="82"/>
      <c r="J8" s="82"/>
      <c r="K8" s="82"/>
      <c r="L8" s="82"/>
      <c r="M8" s="1"/>
      <c r="N8" s="265"/>
      <c r="O8" s="265"/>
      <c r="P8" s="265"/>
      <c r="Q8" s="265"/>
      <c r="R8" s="369"/>
      <c r="S8" s="370"/>
      <c r="T8" s="370"/>
      <c r="U8" s="366"/>
      <c r="V8" s="191"/>
    </row>
    <row r="9" spans="1:22" ht="14.5">
      <c r="A9" s="30">
        <v>45778</v>
      </c>
      <c r="B9" s="367">
        <v>25320</v>
      </c>
      <c r="C9" s="371"/>
      <c r="D9" s="371"/>
      <c r="E9" s="368">
        <v>8717</v>
      </c>
      <c r="F9" s="358">
        <v>344</v>
      </c>
      <c r="G9" s="82"/>
      <c r="H9" s="82"/>
      <c r="I9" s="82"/>
      <c r="J9" s="82"/>
      <c r="K9" s="82"/>
      <c r="L9" s="82"/>
      <c r="M9" s="1"/>
      <c r="N9" s="265"/>
      <c r="O9" s="265"/>
      <c r="P9" s="265"/>
      <c r="Q9" s="265"/>
      <c r="R9" s="369"/>
      <c r="S9" s="370"/>
      <c r="T9" s="370"/>
      <c r="U9" s="366"/>
      <c r="V9" s="191"/>
    </row>
    <row r="10" spans="1:22" ht="14.5">
      <c r="A10" s="30">
        <v>45809</v>
      </c>
      <c r="B10" s="367">
        <v>0</v>
      </c>
      <c r="C10" s="368">
        <v>0</v>
      </c>
      <c r="D10" s="368">
        <v>0</v>
      </c>
      <c r="E10" s="371"/>
      <c r="F10" s="358" t="e">
        <v>#DIV/0!</v>
      </c>
      <c r="G10" s="82"/>
      <c r="H10" s="82"/>
      <c r="I10" s="82"/>
      <c r="J10" s="82"/>
      <c r="K10" s="82"/>
      <c r="L10" s="82"/>
      <c r="M10" s="1"/>
      <c r="N10" s="265"/>
      <c r="O10" s="265"/>
      <c r="P10" s="265"/>
      <c r="Q10" s="265"/>
      <c r="R10" s="369"/>
      <c r="S10" s="370"/>
      <c r="T10" s="370"/>
      <c r="U10" s="366"/>
      <c r="V10" s="191"/>
    </row>
    <row r="11" spans="1:22" ht="14.5">
      <c r="A11" s="30">
        <v>45839</v>
      </c>
      <c r="B11" s="367"/>
      <c r="C11" s="368"/>
      <c r="D11" s="368"/>
      <c r="E11" s="368"/>
      <c r="F11" s="358"/>
      <c r="G11" s="82"/>
      <c r="H11" s="82"/>
      <c r="I11" s="82"/>
      <c r="J11" s="82"/>
      <c r="K11" s="82"/>
      <c r="L11" s="82"/>
      <c r="M11" s="1"/>
      <c r="N11" s="265"/>
      <c r="O11" s="265"/>
      <c r="P11" s="265"/>
      <c r="Q11" s="265"/>
      <c r="R11" s="369"/>
      <c r="S11" s="370"/>
      <c r="T11" s="370"/>
      <c r="U11" s="366"/>
      <c r="V11" s="191"/>
    </row>
    <row r="12" spans="1:22" ht="14.5">
      <c r="A12" s="30">
        <v>45870</v>
      </c>
      <c r="B12" s="372"/>
      <c r="C12" s="372"/>
      <c r="D12" s="57"/>
      <c r="E12" s="373"/>
      <c r="F12" s="38"/>
      <c r="G12" s="82"/>
      <c r="H12" s="82"/>
      <c r="I12" s="82"/>
      <c r="J12" s="82"/>
      <c r="K12" s="82"/>
      <c r="L12" s="82"/>
      <c r="M12" s="1"/>
      <c r="N12" s="265"/>
      <c r="O12" s="265"/>
      <c r="P12" s="265"/>
      <c r="Q12" s="265"/>
      <c r="R12" s="369"/>
      <c r="S12" s="370"/>
      <c r="T12" s="370"/>
      <c r="U12" s="366"/>
      <c r="V12" s="191"/>
    </row>
    <row r="13" spans="1:22" ht="14.5">
      <c r="A13" s="30">
        <v>45901</v>
      </c>
      <c r="B13" s="372"/>
      <c r="C13" s="372"/>
      <c r="D13" s="57"/>
      <c r="E13" s="373"/>
      <c r="F13" s="38"/>
      <c r="G13" s="82"/>
      <c r="H13" s="82"/>
      <c r="I13" s="82"/>
      <c r="J13" s="82"/>
      <c r="K13" s="82"/>
      <c r="L13" s="82"/>
      <c r="M13" s="1"/>
      <c r="N13" s="265"/>
      <c r="O13" s="265"/>
      <c r="P13" s="265"/>
      <c r="Q13" s="265"/>
      <c r="R13" s="369"/>
      <c r="S13" s="370"/>
      <c r="T13" s="370"/>
      <c r="U13" s="366"/>
      <c r="V13" s="191"/>
    </row>
    <row r="14" spans="1:22" ht="14.5">
      <c r="A14" s="30">
        <v>45931</v>
      </c>
      <c r="B14" s="372"/>
      <c r="C14" s="372"/>
      <c r="D14" s="57"/>
      <c r="E14" s="373"/>
      <c r="F14" s="38"/>
      <c r="G14" s="82"/>
      <c r="H14" s="82"/>
      <c r="I14" s="82"/>
      <c r="J14" s="82"/>
      <c r="K14" s="82"/>
      <c r="L14" s="82"/>
      <c r="M14" s="1"/>
      <c r="N14" s="265"/>
      <c r="O14" s="265"/>
      <c r="P14" s="265"/>
      <c r="Q14" s="265"/>
      <c r="R14" s="369"/>
      <c r="S14" s="370"/>
      <c r="T14" s="370"/>
      <c r="U14" s="366"/>
      <c r="V14" s="191"/>
    </row>
    <row r="15" spans="1:22" ht="14.5">
      <c r="A15" s="30">
        <v>45962</v>
      </c>
      <c r="B15" s="314"/>
      <c r="C15" s="314"/>
      <c r="D15" s="374"/>
      <c r="E15" s="375"/>
      <c r="F15" s="38"/>
      <c r="G15" s="82"/>
      <c r="H15" s="82"/>
      <c r="I15" s="82"/>
      <c r="J15" s="82"/>
      <c r="K15" s="82"/>
      <c r="L15" s="82"/>
      <c r="M15" s="1"/>
      <c r="N15" s="265"/>
      <c r="O15" s="265"/>
      <c r="P15" s="265"/>
      <c r="Q15" s="265"/>
      <c r="R15" s="369"/>
      <c r="S15" s="370"/>
      <c r="T15" s="370"/>
      <c r="U15" s="366"/>
      <c r="V15" s="191"/>
    </row>
    <row r="16" spans="1:22" ht="14.5">
      <c r="A16" s="30">
        <v>45992</v>
      </c>
      <c r="B16" s="376"/>
      <c r="C16" s="377"/>
      <c r="D16" s="378"/>
      <c r="E16" s="379"/>
      <c r="F16" s="38"/>
      <c r="G16" s="380"/>
      <c r="H16" s="82"/>
      <c r="I16" s="82"/>
      <c r="J16" s="82"/>
      <c r="K16" s="82"/>
      <c r="L16" s="82"/>
      <c r="M16" s="1"/>
      <c r="N16" s="265"/>
      <c r="O16" s="265"/>
      <c r="P16" s="265"/>
      <c r="Q16" s="265"/>
      <c r="R16" s="369"/>
      <c r="S16" s="370"/>
      <c r="T16" s="370"/>
      <c r="U16" s="366"/>
      <c r="V16" s="366"/>
    </row>
    <row r="17" spans="1:13" ht="14.5">
      <c r="A17" s="4" t="s">
        <v>25</v>
      </c>
      <c r="B17" s="4">
        <f t="shared" ref="B17:F17" si="0">SUM(B5:B16)</f>
        <v>87000</v>
      </c>
      <c r="C17" s="4">
        <f t="shared" si="0"/>
        <v>0</v>
      </c>
      <c r="D17" s="4">
        <f t="shared" si="0"/>
        <v>0</v>
      </c>
      <c r="E17" s="4">
        <f t="shared" si="0"/>
        <v>22103</v>
      </c>
      <c r="F17" s="4" t="e">
        <f t="shared" si="0"/>
        <v>#DIV/0!</v>
      </c>
      <c r="G17" s="4"/>
      <c r="H17" s="4"/>
      <c r="I17" s="4"/>
      <c r="J17" s="4"/>
      <c r="K17" s="4"/>
      <c r="L17" s="4"/>
      <c r="M17" s="4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T3:T4"/>
    <mergeCell ref="U3:U4"/>
    <mergeCell ref="V3:V4"/>
    <mergeCell ref="N3:N4"/>
    <mergeCell ref="O3:O4"/>
    <mergeCell ref="P3:P4"/>
    <mergeCell ref="Q3:Q4"/>
    <mergeCell ref="S3:S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Boilers</vt:lpstr>
      <vt:lpstr>DGs</vt:lpstr>
      <vt:lpstr>Electrcity Data</vt:lpstr>
      <vt:lpstr>Water Data</vt:lpstr>
      <vt:lpstr>Domestic RO</vt:lpstr>
      <vt:lpstr>Stack emission Reports</vt:lpstr>
      <vt:lpstr>Production </vt:lpstr>
      <vt:lpstr>Washing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ROHIT</dc:creator>
  <cp:lastModifiedBy>KUMAR, ROHIT</cp:lastModifiedBy>
  <dcterms:created xsi:type="dcterms:W3CDTF">2014-06-19T11:56:00Z</dcterms:created>
  <dcterms:modified xsi:type="dcterms:W3CDTF">2025-11-25T10:26:34Z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